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yusei\Documents\ロボット設計製作論実習１\11月16日\"/>
    </mc:Choice>
  </mc:AlternateContent>
  <xr:revisionPtr revIDLastSave="0" documentId="13_ncr:1_{8789FA29-2D6F-4B1B-AF3D-7D40242CE5A3}" xr6:coauthVersionLast="45" xr6:coauthVersionMax="45" xr10:uidLastSave="{00000000-0000-0000-0000-000000000000}"/>
  <bookViews>
    <workbookView xWindow="-108" yWindow="-108" windowWidth="23256" windowHeight="14016" xr2:uid="{5ECD22BA-8AE2-4058-9D24-A51639B40FA2}"/>
  </bookViews>
  <sheets>
    <sheet name="RobotMotion" sheetId="8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28" i="8" l="1"/>
  <c r="E128" i="8"/>
  <c r="E127" i="8"/>
  <c r="D127" i="8"/>
  <c r="E126" i="8"/>
  <c r="D126" i="8"/>
  <c r="E125" i="8"/>
  <c r="D125" i="8"/>
  <c r="E124" i="8"/>
  <c r="D124" i="8"/>
  <c r="E123" i="8"/>
  <c r="D123" i="8"/>
  <c r="E122" i="8"/>
  <c r="D122" i="8"/>
  <c r="E121" i="8"/>
  <c r="D121" i="8"/>
  <c r="E120" i="8"/>
  <c r="D120" i="8"/>
  <c r="E119" i="8"/>
  <c r="D119" i="8"/>
  <c r="E118" i="8"/>
  <c r="D118" i="8"/>
  <c r="E117" i="8"/>
  <c r="D117" i="8"/>
  <c r="E116" i="8"/>
  <c r="D116" i="8"/>
  <c r="E115" i="8"/>
  <c r="D115" i="8"/>
  <c r="E114" i="8"/>
  <c r="D114" i="8"/>
  <c r="E113" i="8"/>
  <c r="D113" i="8"/>
  <c r="E112" i="8"/>
  <c r="D112" i="8"/>
  <c r="E111" i="8"/>
  <c r="D111" i="8"/>
  <c r="E110" i="8"/>
  <c r="D110" i="8"/>
  <c r="E109" i="8"/>
  <c r="D109" i="8"/>
  <c r="E108" i="8"/>
  <c r="D108" i="8"/>
  <c r="E107" i="8"/>
  <c r="D107" i="8"/>
  <c r="E106" i="8"/>
  <c r="D106" i="8"/>
  <c r="E105" i="8"/>
  <c r="D105" i="8"/>
  <c r="E104" i="8"/>
  <c r="D104" i="8"/>
  <c r="E103" i="8"/>
  <c r="D103" i="8"/>
  <c r="E102" i="8"/>
  <c r="D102" i="8"/>
  <c r="E101" i="8"/>
  <c r="D101" i="8"/>
  <c r="E100" i="8"/>
  <c r="D100" i="8"/>
  <c r="E99" i="8"/>
  <c r="D99" i="8"/>
  <c r="E98" i="8"/>
  <c r="D98" i="8"/>
  <c r="E97" i="8"/>
  <c r="D97" i="8"/>
  <c r="E96" i="8"/>
  <c r="D96" i="8"/>
  <c r="E95" i="8"/>
  <c r="D95" i="8"/>
  <c r="E94" i="8"/>
  <c r="D94" i="8"/>
  <c r="E93" i="8"/>
  <c r="D93" i="8"/>
  <c r="E92" i="8"/>
  <c r="D92" i="8"/>
  <c r="E91" i="8"/>
  <c r="D91" i="8"/>
  <c r="E90" i="8"/>
  <c r="D90" i="8"/>
  <c r="E89" i="8"/>
  <c r="D89" i="8"/>
  <c r="E88" i="8"/>
  <c r="D88" i="8"/>
  <c r="E87" i="8"/>
  <c r="D87" i="8"/>
  <c r="E86" i="8"/>
  <c r="D86" i="8"/>
  <c r="E85" i="8"/>
  <c r="D85" i="8"/>
  <c r="E84" i="8"/>
  <c r="D84" i="8"/>
  <c r="E83" i="8"/>
  <c r="D83" i="8"/>
  <c r="E82" i="8"/>
  <c r="D82" i="8"/>
  <c r="E81" i="8"/>
  <c r="D81" i="8"/>
  <c r="E80" i="8"/>
  <c r="D80" i="8"/>
  <c r="E79" i="8"/>
  <c r="D79" i="8"/>
  <c r="E78" i="8"/>
  <c r="D78" i="8"/>
  <c r="E77" i="8"/>
  <c r="D77" i="8"/>
  <c r="E76" i="8"/>
  <c r="D76" i="8"/>
  <c r="E75" i="8"/>
  <c r="D75" i="8"/>
  <c r="E74" i="8"/>
  <c r="D74" i="8"/>
  <c r="E73" i="8"/>
  <c r="D73" i="8"/>
  <c r="E72" i="8"/>
  <c r="D72" i="8"/>
  <c r="E71" i="8"/>
  <c r="D71" i="8"/>
  <c r="E70" i="8"/>
  <c r="D70" i="8"/>
  <c r="E69" i="8"/>
  <c r="D69" i="8"/>
  <c r="E68" i="8"/>
  <c r="D68" i="8"/>
  <c r="E67" i="8"/>
  <c r="D67" i="8"/>
  <c r="E66" i="8"/>
  <c r="D66" i="8"/>
  <c r="E65" i="8"/>
  <c r="D65" i="8"/>
  <c r="E64" i="8"/>
  <c r="D64" i="8"/>
  <c r="E63" i="8"/>
  <c r="D63" i="8"/>
  <c r="E62" i="8"/>
  <c r="D62" i="8"/>
  <c r="E61" i="8"/>
  <c r="D61" i="8"/>
  <c r="E60" i="8"/>
  <c r="D60" i="8"/>
  <c r="E59" i="8"/>
  <c r="D59" i="8"/>
  <c r="E58" i="8"/>
  <c r="D58" i="8"/>
  <c r="E57" i="8"/>
  <c r="D57" i="8"/>
  <c r="E56" i="8"/>
  <c r="D56" i="8"/>
  <c r="E55" i="8"/>
  <c r="D55" i="8"/>
  <c r="E54" i="8"/>
  <c r="D54" i="8"/>
  <c r="E53" i="8"/>
  <c r="D53" i="8"/>
  <c r="E52" i="8"/>
  <c r="D52" i="8"/>
  <c r="E51" i="8"/>
  <c r="D51" i="8"/>
  <c r="E50" i="8"/>
  <c r="D50" i="8"/>
  <c r="E49" i="8"/>
  <c r="D49" i="8"/>
  <c r="E48" i="8"/>
  <c r="D48" i="8"/>
  <c r="E47" i="8"/>
  <c r="D47" i="8"/>
  <c r="E46" i="8"/>
  <c r="D46" i="8"/>
  <c r="E45" i="8"/>
  <c r="D45" i="8"/>
  <c r="E44" i="8"/>
  <c r="D44" i="8"/>
  <c r="E43" i="8"/>
  <c r="D43" i="8"/>
  <c r="E42" i="8"/>
  <c r="D42" i="8"/>
  <c r="E41" i="8"/>
  <c r="D41" i="8"/>
  <c r="E40" i="8"/>
  <c r="D40" i="8"/>
  <c r="E39" i="8"/>
  <c r="D39" i="8"/>
  <c r="E38" i="8"/>
  <c r="D38" i="8"/>
  <c r="E37" i="8"/>
  <c r="D37" i="8"/>
  <c r="E36" i="8"/>
  <c r="D36" i="8"/>
  <c r="E35" i="8"/>
  <c r="D35" i="8"/>
  <c r="E34" i="8"/>
  <c r="D34" i="8"/>
  <c r="E33" i="8"/>
  <c r="D33" i="8"/>
  <c r="E32" i="8"/>
  <c r="D32" i="8"/>
  <c r="E31" i="8"/>
  <c r="D31" i="8"/>
  <c r="E30" i="8"/>
  <c r="D30" i="8"/>
  <c r="E29" i="8"/>
  <c r="D29" i="8"/>
  <c r="D23" i="8"/>
  <c r="E23" i="8"/>
  <c r="D24" i="8"/>
  <c r="E24" i="8"/>
  <c r="D25" i="8"/>
  <c r="E25" i="8"/>
  <c r="D26" i="8"/>
  <c r="E26" i="8"/>
  <c r="D27" i="8"/>
  <c r="E27" i="8"/>
  <c r="D28" i="8"/>
  <c r="E28" i="8"/>
  <c r="D4" i="8"/>
  <c r="E4" i="8"/>
  <c r="D5" i="8"/>
  <c r="E5" i="8"/>
  <c r="D6" i="8"/>
  <c r="E6" i="8"/>
  <c r="D7" i="8"/>
  <c r="E7" i="8"/>
  <c r="D8" i="8"/>
  <c r="E8" i="8"/>
  <c r="D9" i="8"/>
  <c r="E9" i="8"/>
  <c r="D10" i="8"/>
  <c r="E10" i="8"/>
  <c r="D11" i="8"/>
  <c r="E11" i="8"/>
  <c r="D12" i="8"/>
  <c r="E12" i="8"/>
  <c r="D13" i="8"/>
  <c r="E13" i="8"/>
  <c r="D14" i="8"/>
  <c r="E14" i="8"/>
  <c r="D15" i="8"/>
  <c r="E15" i="8"/>
  <c r="D16" i="8"/>
  <c r="E16" i="8"/>
  <c r="D17" i="8"/>
  <c r="E17" i="8"/>
  <c r="D18" i="8"/>
  <c r="E18" i="8"/>
  <c r="D19" i="8"/>
  <c r="E19" i="8"/>
  <c r="D20" i="8"/>
  <c r="E20" i="8"/>
  <c r="D21" i="8"/>
  <c r="E21" i="8"/>
  <c r="D22" i="8"/>
  <c r="E22" i="8"/>
  <c r="D3" i="8"/>
  <c r="E3" i="8"/>
  <c r="F3" i="8" s="1"/>
  <c r="F4" i="8" l="1"/>
  <c r="H4" i="8" s="1"/>
  <c r="G3" i="8"/>
  <c r="H3" i="8"/>
  <c r="J3" i="8" s="1"/>
  <c r="I3" i="8"/>
  <c r="K3" i="8" s="1"/>
  <c r="I2" i="8"/>
  <c r="H2" i="8"/>
  <c r="G4" i="8" l="1"/>
  <c r="F5" i="8"/>
  <c r="G5" i="8" s="1"/>
  <c r="I4" i="8"/>
  <c r="K4" i="8" s="1"/>
  <c r="J4" i="8"/>
  <c r="F6" i="8"/>
  <c r="M2" i="8"/>
  <c r="I5" i="8" l="1"/>
  <c r="H5" i="8"/>
  <c r="J5" i="8" s="1"/>
  <c r="K5" i="8"/>
  <c r="F7" i="8"/>
  <c r="G6" i="8"/>
  <c r="H6" i="8"/>
  <c r="I6" i="8"/>
  <c r="K6" i="8" l="1"/>
  <c r="J6" i="8"/>
  <c r="F8" i="8"/>
  <c r="G7" i="8"/>
  <c r="H7" i="8"/>
  <c r="I7" i="8"/>
  <c r="K7" i="8" s="1"/>
  <c r="J7" i="8" l="1"/>
  <c r="F9" i="8"/>
  <c r="G8" i="8"/>
  <c r="H8" i="8"/>
  <c r="J8" i="8" s="1"/>
  <c r="I8" i="8"/>
  <c r="K8" i="8" s="1"/>
  <c r="F10" i="8" l="1"/>
  <c r="G9" i="8"/>
  <c r="H9" i="8"/>
  <c r="J9" i="8" s="1"/>
  <c r="I9" i="8"/>
  <c r="K9" i="8" s="1"/>
  <c r="F11" i="8" l="1"/>
  <c r="G10" i="8"/>
  <c r="H10" i="8"/>
  <c r="J10" i="8" s="1"/>
  <c r="I10" i="8"/>
  <c r="K10" i="8" s="1"/>
  <c r="F12" i="8" l="1"/>
  <c r="G11" i="8"/>
  <c r="H11" i="8"/>
  <c r="J11" i="8" s="1"/>
  <c r="I11" i="8"/>
  <c r="K11" i="8" s="1"/>
  <c r="F13" i="8" l="1"/>
  <c r="G12" i="8"/>
  <c r="H12" i="8"/>
  <c r="J12" i="8" s="1"/>
  <c r="I12" i="8"/>
  <c r="K12" i="8" s="1"/>
  <c r="F14" i="8" l="1"/>
  <c r="G13" i="8"/>
  <c r="H13" i="8"/>
  <c r="J13" i="8" s="1"/>
  <c r="I13" i="8"/>
  <c r="K13" i="8" s="1"/>
  <c r="F15" i="8" l="1"/>
  <c r="G14" i="8"/>
  <c r="H14" i="8"/>
  <c r="J14" i="8" s="1"/>
  <c r="I14" i="8"/>
  <c r="K14" i="8" s="1"/>
  <c r="F16" i="8" l="1"/>
  <c r="G15" i="8"/>
  <c r="H15" i="8"/>
  <c r="J15" i="8" s="1"/>
  <c r="I15" i="8"/>
  <c r="K15" i="8" s="1"/>
  <c r="F17" i="8" l="1"/>
  <c r="G16" i="8"/>
  <c r="H16" i="8"/>
  <c r="J16" i="8" s="1"/>
  <c r="I16" i="8"/>
  <c r="K16" i="8" s="1"/>
  <c r="F18" i="8" l="1"/>
  <c r="G17" i="8"/>
  <c r="H17" i="8"/>
  <c r="J17" i="8" s="1"/>
  <c r="I17" i="8"/>
  <c r="K17" i="8" s="1"/>
  <c r="F19" i="8" l="1"/>
  <c r="G18" i="8"/>
  <c r="H18" i="8"/>
  <c r="J18" i="8" s="1"/>
  <c r="I18" i="8"/>
  <c r="K18" i="8" s="1"/>
  <c r="F20" i="8" l="1"/>
  <c r="G19" i="8"/>
  <c r="H19" i="8"/>
  <c r="J19" i="8" s="1"/>
  <c r="I19" i="8"/>
  <c r="K19" i="8" s="1"/>
  <c r="F21" i="8" l="1"/>
  <c r="G20" i="8"/>
  <c r="H20" i="8"/>
  <c r="J20" i="8" s="1"/>
  <c r="I20" i="8"/>
  <c r="K20" i="8" s="1"/>
  <c r="F22" i="8" l="1"/>
  <c r="F23" i="8" s="1"/>
  <c r="G21" i="8"/>
  <c r="H21" i="8"/>
  <c r="J21" i="8" s="1"/>
  <c r="I21" i="8"/>
  <c r="K21" i="8" s="1"/>
  <c r="G23" i="8" l="1"/>
  <c r="F24" i="8"/>
  <c r="H23" i="8"/>
  <c r="I23" i="8"/>
  <c r="G22" i="8"/>
  <c r="H22" i="8"/>
  <c r="J22" i="8" s="1"/>
  <c r="I22" i="8"/>
  <c r="K22" i="8" s="1"/>
  <c r="J23" i="8" l="1"/>
  <c r="K23" i="8"/>
  <c r="G24" i="8"/>
  <c r="F25" i="8"/>
  <c r="I24" i="8"/>
  <c r="H24" i="8"/>
  <c r="J24" i="8" l="1"/>
  <c r="K24" i="8"/>
  <c r="G25" i="8"/>
  <c r="F26" i="8"/>
  <c r="I25" i="8"/>
  <c r="H25" i="8"/>
  <c r="K25" i="8" l="1"/>
  <c r="J25" i="8"/>
  <c r="G26" i="8"/>
  <c r="F27" i="8"/>
  <c r="I26" i="8"/>
  <c r="H26" i="8"/>
  <c r="K26" i="8" l="1"/>
  <c r="J26" i="8"/>
  <c r="G27" i="8"/>
  <c r="F28" i="8"/>
  <c r="F29" i="8" s="1"/>
  <c r="I27" i="8"/>
  <c r="H27" i="8"/>
  <c r="F30" i="8" l="1"/>
  <c r="G29" i="8"/>
  <c r="H29" i="8"/>
  <c r="I29" i="8"/>
  <c r="J27" i="8"/>
  <c r="K27" i="8"/>
  <c r="G28" i="8"/>
  <c r="I28" i="8"/>
  <c r="K28" i="8" s="1"/>
  <c r="H28" i="8"/>
  <c r="J28" i="8" l="1"/>
  <c r="J29" i="8" s="1"/>
  <c r="K29" i="8"/>
  <c r="F31" i="8"/>
  <c r="G30" i="8"/>
  <c r="I30" i="8"/>
  <c r="K30" i="8" s="1"/>
  <c r="H30" i="8"/>
  <c r="J30" i="8" l="1"/>
  <c r="F32" i="8"/>
  <c r="H31" i="8"/>
  <c r="G31" i="8"/>
  <c r="I31" i="8"/>
  <c r="K31" i="8" s="1"/>
  <c r="J31" i="8" l="1"/>
  <c r="F33" i="8"/>
  <c r="H32" i="8"/>
  <c r="J32" i="8" s="1"/>
  <c r="G32" i="8"/>
  <c r="I32" i="8"/>
  <c r="K32" i="8" s="1"/>
  <c r="F34" i="8" l="1"/>
  <c r="I33" i="8"/>
  <c r="K33" i="8" s="1"/>
  <c r="G33" i="8"/>
  <c r="H33" i="8"/>
  <c r="J33" i="8" s="1"/>
  <c r="F35" i="8" l="1"/>
  <c r="I34" i="8"/>
  <c r="K34" i="8" s="1"/>
  <c r="G34" i="8"/>
  <c r="H34" i="8"/>
  <c r="J34" i="8" s="1"/>
  <c r="F36" i="8" l="1"/>
  <c r="G35" i="8"/>
  <c r="I35" i="8"/>
  <c r="K35" i="8" s="1"/>
  <c r="H35" i="8"/>
  <c r="J35" i="8" s="1"/>
  <c r="F37" i="8" l="1"/>
  <c r="I36" i="8"/>
  <c r="K36" i="8" s="1"/>
  <c r="H36" i="8"/>
  <c r="J36" i="8" s="1"/>
  <c r="G36" i="8"/>
  <c r="F38" i="8" l="1"/>
  <c r="G37" i="8"/>
  <c r="I37" i="8"/>
  <c r="K37" i="8" s="1"/>
  <c r="H37" i="8"/>
  <c r="J37" i="8" s="1"/>
  <c r="F39" i="8" l="1"/>
  <c r="G38" i="8"/>
  <c r="I38" i="8"/>
  <c r="K38" i="8" s="1"/>
  <c r="H38" i="8"/>
  <c r="J38" i="8" s="1"/>
  <c r="F40" i="8" l="1"/>
  <c r="I39" i="8"/>
  <c r="K39" i="8" s="1"/>
  <c r="G39" i="8"/>
  <c r="H39" i="8"/>
  <c r="J39" i="8" s="1"/>
  <c r="F41" i="8" l="1"/>
  <c r="G40" i="8"/>
  <c r="I40" i="8"/>
  <c r="K40" i="8" s="1"/>
  <c r="H40" i="8"/>
  <c r="J40" i="8" s="1"/>
  <c r="F42" i="8" l="1"/>
  <c r="G41" i="8"/>
  <c r="I41" i="8"/>
  <c r="K41" i="8" s="1"/>
  <c r="H41" i="8"/>
  <c r="J41" i="8" s="1"/>
  <c r="F43" i="8" l="1"/>
  <c r="G42" i="8"/>
  <c r="I42" i="8"/>
  <c r="K42" i="8" s="1"/>
  <c r="H42" i="8"/>
  <c r="J42" i="8" s="1"/>
  <c r="I43" i="8" l="1"/>
  <c r="K43" i="8" s="1"/>
  <c r="G43" i="8"/>
  <c r="F44" i="8"/>
  <c r="H43" i="8"/>
  <c r="J43" i="8" s="1"/>
  <c r="I44" i="8" l="1"/>
  <c r="K44" i="8" s="1"/>
  <c r="H44" i="8"/>
  <c r="J44" i="8" s="1"/>
  <c r="G44" i="8"/>
  <c r="F45" i="8"/>
  <c r="F46" i="8" l="1"/>
  <c r="H45" i="8"/>
  <c r="J45" i="8" s="1"/>
  <c r="G45" i="8"/>
  <c r="I45" i="8"/>
  <c r="K45" i="8" s="1"/>
  <c r="G46" i="8" l="1"/>
  <c r="F47" i="8"/>
  <c r="H46" i="8"/>
  <c r="J46" i="8" s="1"/>
  <c r="I46" i="8"/>
  <c r="K46" i="8" s="1"/>
  <c r="F48" i="8" l="1"/>
  <c r="I47" i="8"/>
  <c r="K47" i="8" s="1"/>
  <c r="G47" i="8"/>
  <c r="H47" i="8"/>
  <c r="J47" i="8" s="1"/>
  <c r="F49" i="8" l="1"/>
  <c r="I48" i="8"/>
  <c r="K48" i="8" s="1"/>
  <c r="H48" i="8"/>
  <c r="J48" i="8" s="1"/>
  <c r="G48" i="8"/>
  <c r="G49" i="8" l="1"/>
  <c r="I49" i="8"/>
  <c r="K49" i="8" s="1"/>
  <c r="F50" i="8"/>
  <c r="H49" i="8"/>
  <c r="J49" i="8" s="1"/>
  <c r="F51" i="8" l="1"/>
  <c r="I50" i="8"/>
  <c r="K50" i="8" s="1"/>
  <c r="G50" i="8"/>
  <c r="H50" i="8"/>
  <c r="J50" i="8" s="1"/>
  <c r="I51" i="8" l="1"/>
  <c r="K51" i="8" s="1"/>
  <c r="H51" i="8"/>
  <c r="J51" i="8" s="1"/>
  <c r="G51" i="8"/>
  <c r="F52" i="8"/>
  <c r="G52" i="8" l="1"/>
  <c r="F53" i="8"/>
  <c r="I52" i="8"/>
  <c r="K52" i="8" s="1"/>
  <c r="H52" i="8"/>
  <c r="J52" i="8" s="1"/>
  <c r="F54" i="8" l="1"/>
  <c r="I53" i="8"/>
  <c r="K53" i="8" s="1"/>
  <c r="H53" i="8"/>
  <c r="J53" i="8" s="1"/>
  <c r="G53" i="8"/>
  <c r="I54" i="8" l="1"/>
  <c r="K54" i="8" s="1"/>
  <c r="F55" i="8"/>
  <c r="G54" i="8"/>
  <c r="H54" i="8"/>
  <c r="J54" i="8" s="1"/>
  <c r="F56" i="8" l="1"/>
  <c r="G55" i="8"/>
  <c r="H55" i="8"/>
  <c r="J55" i="8" s="1"/>
  <c r="I55" i="8"/>
  <c r="K55" i="8" s="1"/>
  <c r="H56" i="8" l="1"/>
  <c r="J56" i="8" s="1"/>
  <c r="G56" i="8"/>
  <c r="I56" i="8"/>
  <c r="K56" i="8" s="1"/>
  <c r="F57" i="8"/>
  <c r="I57" i="8" l="1"/>
  <c r="K57" i="8" s="1"/>
  <c r="F58" i="8"/>
  <c r="G57" i="8"/>
  <c r="H57" i="8"/>
  <c r="J57" i="8" s="1"/>
  <c r="G58" i="8" l="1"/>
  <c r="H58" i="8"/>
  <c r="J58" i="8" s="1"/>
  <c r="I58" i="8"/>
  <c r="K58" i="8" s="1"/>
  <c r="F59" i="8"/>
  <c r="I59" i="8" l="1"/>
  <c r="K59" i="8" s="1"/>
  <c r="G59" i="8"/>
  <c r="F60" i="8"/>
  <c r="H59" i="8"/>
  <c r="J59" i="8" s="1"/>
  <c r="F61" i="8" l="1"/>
  <c r="I60" i="8"/>
  <c r="K60" i="8" s="1"/>
  <c r="G60" i="8"/>
  <c r="H60" i="8"/>
  <c r="J60" i="8" s="1"/>
  <c r="I61" i="8" l="1"/>
  <c r="K61" i="8" s="1"/>
  <c r="H61" i="8"/>
  <c r="J61" i="8" s="1"/>
  <c r="G61" i="8"/>
  <c r="F62" i="8"/>
  <c r="H62" i="8" l="1"/>
  <c r="J62" i="8" s="1"/>
  <c r="F63" i="8"/>
  <c r="I62" i="8"/>
  <c r="K62" i="8" s="1"/>
  <c r="G62" i="8"/>
  <c r="I63" i="8" l="1"/>
  <c r="K63" i="8" s="1"/>
  <c r="H63" i="8"/>
  <c r="J63" i="8" s="1"/>
  <c r="F64" i="8"/>
  <c r="G63" i="8"/>
  <c r="F65" i="8" l="1"/>
  <c r="I64" i="8"/>
  <c r="K64" i="8" s="1"/>
  <c r="G64" i="8"/>
  <c r="H64" i="8"/>
  <c r="J64" i="8" s="1"/>
  <c r="I65" i="8" l="1"/>
  <c r="K65" i="8" s="1"/>
  <c r="H65" i="8"/>
  <c r="J65" i="8" s="1"/>
  <c r="G65" i="8"/>
  <c r="F66" i="8"/>
  <c r="I66" i="8" l="1"/>
  <c r="K66" i="8" s="1"/>
  <c r="F67" i="8"/>
  <c r="G66" i="8"/>
  <c r="H66" i="8"/>
  <c r="J66" i="8" s="1"/>
  <c r="F68" i="8" l="1"/>
  <c r="I67" i="8"/>
  <c r="K67" i="8" s="1"/>
  <c r="G67" i="8"/>
  <c r="H67" i="8"/>
  <c r="J67" i="8" s="1"/>
  <c r="G68" i="8" l="1"/>
  <c r="I68" i="8"/>
  <c r="K68" i="8" s="1"/>
  <c r="F69" i="8"/>
  <c r="H68" i="8"/>
  <c r="J68" i="8" s="1"/>
  <c r="H69" i="8" l="1"/>
  <c r="J69" i="8" s="1"/>
  <c r="I69" i="8"/>
  <c r="K69" i="8" s="1"/>
  <c r="F70" i="8"/>
  <c r="G69" i="8"/>
  <c r="H70" i="8" l="1"/>
  <c r="J70" i="8" s="1"/>
  <c r="I70" i="8"/>
  <c r="K70" i="8" s="1"/>
  <c r="G70" i="8"/>
  <c r="F71" i="8"/>
  <c r="G71" i="8" l="1"/>
  <c r="F72" i="8"/>
  <c r="I71" i="8"/>
  <c r="K71" i="8" s="1"/>
  <c r="H71" i="8"/>
  <c r="J71" i="8" s="1"/>
  <c r="H72" i="8" l="1"/>
  <c r="J72" i="8" s="1"/>
  <c r="G72" i="8"/>
  <c r="I72" i="8"/>
  <c r="K72" i="8" s="1"/>
  <c r="F73" i="8"/>
  <c r="I73" i="8" l="1"/>
  <c r="K73" i="8" s="1"/>
  <c r="G73" i="8"/>
  <c r="H73" i="8"/>
  <c r="J73" i="8" s="1"/>
  <c r="F74" i="8"/>
  <c r="I74" i="8" l="1"/>
  <c r="K74" i="8" s="1"/>
  <c r="H74" i="8"/>
  <c r="J74" i="8" s="1"/>
  <c r="G74" i="8"/>
  <c r="F75" i="8"/>
  <c r="H75" i="8" l="1"/>
  <c r="J75" i="8" s="1"/>
  <c r="I75" i="8"/>
  <c r="K75" i="8" s="1"/>
  <c r="F76" i="8"/>
  <c r="G75" i="8"/>
  <c r="H76" i="8" l="1"/>
  <c r="J76" i="8" s="1"/>
  <c r="I76" i="8"/>
  <c r="K76" i="8" s="1"/>
  <c r="F77" i="8"/>
  <c r="G76" i="8"/>
  <c r="I77" i="8" l="1"/>
  <c r="K77" i="8" s="1"/>
  <c r="F78" i="8"/>
  <c r="H77" i="8"/>
  <c r="J77" i="8" s="1"/>
  <c r="G77" i="8"/>
  <c r="I78" i="8" l="1"/>
  <c r="K78" i="8" s="1"/>
  <c r="H78" i="8"/>
  <c r="J78" i="8" s="1"/>
  <c r="F79" i="8"/>
  <c r="G78" i="8"/>
  <c r="I79" i="8" l="1"/>
  <c r="K79" i="8" s="1"/>
  <c r="H79" i="8"/>
  <c r="J79" i="8" s="1"/>
  <c r="F80" i="8"/>
  <c r="G79" i="8"/>
  <c r="H80" i="8" l="1"/>
  <c r="J80" i="8" s="1"/>
  <c r="G80" i="8"/>
  <c r="F81" i="8"/>
  <c r="I80" i="8"/>
  <c r="K80" i="8" s="1"/>
  <c r="G81" i="8" l="1"/>
  <c r="F82" i="8"/>
  <c r="I81" i="8"/>
  <c r="K81" i="8" s="1"/>
  <c r="H81" i="8"/>
  <c r="J81" i="8" s="1"/>
  <c r="H82" i="8" l="1"/>
  <c r="J82" i="8" s="1"/>
  <c r="G82" i="8"/>
  <c r="F83" i="8"/>
  <c r="I82" i="8"/>
  <c r="K82" i="8" s="1"/>
  <c r="G83" i="8" l="1"/>
  <c r="H83" i="8"/>
  <c r="J83" i="8" s="1"/>
  <c r="I83" i="8"/>
  <c r="K83" i="8" s="1"/>
  <c r="F84" i="8"/>
  <c r="H84" i="8" l="1"/>
  <c r="J84" i="8" s="1"/>
  <c r="F85" i="8"/>
  <c r="I84" i="8"/>
  <c r="K84" i="8" s="1"/>
  <c r="G84" i="8"/>
  <c r="G85" i="8" l="1"/>
  <c r="I85" i="8"/>
  <c r="K85" i="8" s="1"/>
  <c r="H85" i="8"/>
  <c r="J85" i="8" s="1"/>
  <c r="F86" i="8"/>
  <c r="H86" i="8" l="1"/>
  <c r="J86" i="8" s="1"/>
  <c r="G86" i="8"/>
  <c r="I86" i="8"/>
  <c r="K86" i="8" s="1"/>
  <c r="F87" i="8"/>
  <c r="H87" i="8" l="1"/>
  <c r="J87" i="8" s="1"/>
  <c r="G87" i="8"/>
  <c r="I87" i="8"/>
  <c r="K87" i="8" s="1"/>
  <c r="F88" i="8"/>
  <c r="I88" i="8" l="1"/>
  <c r="K88" i="8" s="1"/>
  <c r="G88" i="8"/>
  <c r="F89" i="8"/>
  <c r="H88" i="8"/>
  <c r="J88" i="8" s="1"/>
  <c r="G89" i="8" l="1"/>
  <c r="I89" i="8"/>
  <c r="K89" i="8" s="1"/>
  <c r="H89" i="8"/>
  <c r="J89" i="8" s="1"/>
  <c r="F90" i="8"/>
  <c r="F91" i="8" l="1"/>
  <c r="I90" i="8"/>
  <c r="K90" i="8" s="1"/>
  <c r="G90" i="8"/>
  <c r="H90" i="8"/>
  <c r="J90" i="8" s="1"/>
  <c r="H91" i="8" l="1"/>
  <c r="J91" i="8" s="1"/>
  <c r="I91" i="8"/>
  <c r="K91" i="8" s="1"/>
  <c r="F92" i="8"/>
  <c r="G91" i="8"/>
  <c r="H92" i="8" l="1"/>
  <c r="J92" i="8" s="1"/>
  <c r="F93" i="8"/>
  <c r="G92" i="8"/>
  <c r="I92" i="8"/>
  <c r="K92" i="8" s="1"/>
  <c r="I93" i="8" l="1"/>
  <c r="K93" i="8" s="1"/>
  <c r="F94" i="8"/>
  <c r="G93" i="8"/>
  <c r="H93" i="8"/>
  <c r="J93" i="8" s="1"/>
  <c r="F95" i="8" l="1"/>
  <c r="I94" i="8"/>
  <c r="K94" i="8" s="1"/>
  <c r="G94" i="8"/>
  <c r="H94" i="8"/>
  <c r="J94" i="8" s="1"/>
  <c r="I95" i="8" l="1"/>
  <c r="K95" i="8" s="1"/>
  <c r="G95" i="8"/>
  <c r="F96" i="8"/>
  <c r="H95" i="8"/>
  <c r="J95" i="8" s="1"/>
  <c r="H96" i="8" l="1"/>
  <c r="J96" i="8" s="1"/>
  <c r="I96" i="8"/>
  <c r="K96" i="8" s="1"/>
  <c r="F97" i="8"/>
  <c r="G96" i="8"/>
  <c r="I97" i="8" l="1"/>
  <c r="K97" i="8" s="1"/>
  <c r="F98" i="8"/>
  <c r="H97" i="8"/>
  <c r="J97" i="8" s="1"/>
  <c r="G97" i="8"/>
  <c r="I98" i="8" l="1"/>
  <c r="K98" i="8" s="1"/>
  <c r="F99" i="8"/>
  <c r="G98" i="8"/>
  <c r="H98" i="8"/>
  <c r="J98" i="8" s="1"/>
  <c r="I99" i="8" l="1"/>
  <c r="K99" i="8" s="1"/>
  <c r="G99" i="8"/>
  <c r="F100" i="8"/>
  <c r="H99" i="8"/>
  <c r="J99" i="8" s="1"/>
  <c r="H100" i="8" l="1"/>
  <c r="J100" i="8" s="1"/>
  <c r="I100" i="8"/>
  <c r="K100" i="8" s="1"/>
  <c r="G100" i="8"/>
  <c r="F101" i="8"/>
  <c r="I101" i="8" l="1"/>
  <c r="K101" i="8" s="1"/>
  <c r="F102" i="8"/>
  <c r="G101" i="8"/>
  <c r="H101" i="8"/>
  <c r="J101" i="8" s="1"/>
  <c r="I102" i="8" l="1"/>
  <c r="K102" i="8" s="1"/>
  <c r="G102" i="8"/>
  <c r="F103" i="8"/>
  <c r="H102" i="8"/>
  <c r="J102" i="8" s="1"/>
  <c r="G103" i="8" l="1"/>
  <c r="I103" i="8"/>
  <c r="K103" i="8" s="1"/>
  <c r="F104" i="8"/>
  <c r="H103" i="8"/>
  <c r="J103" i="8" s="1"/>
  <c r="H104" i="8" l="1"/>
  <c r="J104" i="8" s="1"/>
  <c r="I104" i="8"/>
  <c r="K104" i="8" s="1"/>
  <c r="F105" i="8"/>
  <c r="G104" i="8"/>
  <c r="H105" i="8" l="1"/>
  <c r="J105" i="8" s="1"/>
  <c r="I105" i="8"/>
  <c r="K105" i="8" s="1"/>
  <c r="G105" i="8"/>
  <c r="F106" i="8"/>
  <c r="H106" i="8" l="1"/>
  <c r="J106" i="8" s="1"/>
  <c r="I106" i="8"/>
  <c r="K106" i="8" s="1"/>
  <c r="G106" i="8"/>
  <c r="F107" i="8"/>
  <c r="H107" i="8" l="1"/>
  <c r="J107" i="8" s="1"/>
  <c r="I107" i="8"/>
  <c r="K107" i="8" s="1"/>
  <c r="F108" i="8"/>
  <c r="G107" i="8"/>
  <c r="I108" i="8" l="1"/>
  <c r="K108" i="8" s="1"/>
  <c r="G108" i="8"/>
  <c r="F109" i="8"/>
  <c r="H108" i="8"/>
  <c r="J108" i="8" s="1"/>
  <c r="H109" i="8" l="1"/>
  <c r="J109" i="8" s="1"/>
  <c r="I109" i="8"/>
  <c r="K109" i="8" s="1"/>
  <c r="F110" i="8"/>
  <c r="G109" i="8"/>
  <c r="I110" i="8" l="1"/>
  <c r="K110" i="8" s="1"/>
  <c r="F111" i="8"/>
  <c r="H110" i="8"/>
  <c r="J110" i="8" s="1"/>
  <c r="G110" i="8"/>
  <c r="I111" i="8" l="1"/>
  <c r="K111" i="8" s="1"/>
  <c r="G111" i="8"/>
  <c r="H111" i="8"/>
  <c r="J111" i="8" s="1"/>
  <c r="F112" i="8"/>
  <c r="I112" i="8" l="1"/>
  <c r="K112" i="8" s="1"/>
  <c r="F113" i="8"/>
  <c r="G112" i="8"/>
  <c r="H112" i="8"/>
  <c r="J112" i="8" s="1"/>
  <c r="F114" i="8" l="1"/>
  <c r="G113" i="8"/>
  <c r="I113" i="8"/>
  <c r="K113" i="8" s="1"/>
  <c r="H113" i="8"/>
  <c r="J113" i="8" s="1"/>
  <c r="I114" i="8" l="1"/>
  <c r="K114" i="8" s="1"/>
  <c r="G114" i="8"/>
  <c r="F115" i="8"/>
  <c r="H114" i="8"/>
  <c r="J114" i="8" s="1"/>
  <c r="H115" i="8" l="1"/>
  <c r="J115" i="8" s="1"/>
  <c r="I115" i="8"/>
  <c r="K115" i="8" s="1"/>
  <c r="F116" i="8"/>
  <c r="G115" i="8"/>
  <c r="H116" i="8" l="1"/>
  <c r="J116" i="8" s="1"/>
  <c r="F117" i="8"/>
  <c r="I116" i="8"/>
  <c r="K116" i="8" s="1"/>
  <c r="G116" i="8"/>
  <c r="H117" i="8" l="1"/>
  <c r="J117" i="8" s="1"/>
  <c r="I117" i="8"/>
  <c r="K117" i="8" s="1"/>
  <c r="G117" i="8"/>
  <c r="F118" i="8"/>
  <c r="I118" i="8" l="1"/>
  <c r="K118" i="8" s="1"/>
  <c r="F119" i="8"/>
  <c r="H118" i="8"/>
  <c r="J118" i="8" s="1"/>
  <c r="G118" i="8"/>
  <c r="I119" i="8" l="1"/>
  <c r="K119" i="8" s="1"/>
  <c r="G119" i="8"/>
  <c r="H119" i="8"/>
  <c r="J119" i="8" s="1"/>
  <c r="F120" i="8"/>
  <c r="H120" i="8" l="1"/>
  <c r="J120" i="8" s="1"/>
  <c r="I120" i="8"/>
  <c r="K120" i="8" s="1"/>
  <c r="G120" i="8"/>
  <c r="F121" i="8"/>
  <c r="H121" i="8" l="1"/>
  <c r="J121" i="8" s="1"/>
  <c r="I121" i="8"/>
  <c r="K121" i="8" s="1"/>
  <c r="F122" i="8"/>
  <c r="G121" i="8"/>
  <c r="I122" i="8" l="1"/>
  <c r="K122" i="8" s="1"/>
  <c r="F123" i="8"/>
  <c r="H122" i="8"/>
  <c r="J122" i="8" s="1"/>
  <c r="G122" i="8"/>
  <c r="H123" i="8" l="1"/>
  <c r="J123" i="8" s="1"/>
  <c r="I123" i="8"/>
  <c r="K123" i="8" s="1"/>
  <c r="F124" i="8"/>
  <c r="G123" i="8"/>
  <c r="I124" i="8" l="1"/>
  <c r="K124" i="8" s="1"/>
  <c r="G124" i="8"/>
  <c r="F125" i="8"/>
  <c r="H124" i="8"/>
  <c r="J124" i="8" s="1"/>
  <c r="H125" i="8" l="1"/>
  <c r="J125" i="8" s="1"/>
  <c r="I125" i="8"/>
  <c r="K125" i="8" s="1"/>
  <c r="G125" i="8"/>
  <c r="F126" i="8"/>
  <c r="I126" i="8" l="1"/>
  <c r="K126" i="8" s="1"/>
  <c r="G126" i="8"/>
  <c r="H126" i="8"/>
  <c r="J126" i="8" s="1"/>
  <c r="F127" i="8"/>
  <c r="F128" i="8" l="1"/>
  <c r="I127" i="8"/>
  <c r="K127" i="8" s="1"/>
  <c r="G127" i="8"/>
  <c r="H127" i="8"/>
  <c r="J127" i="8" s="1"/>
  <c r="G128" i="8" l="1"/>
  <c r="H128" i="8"/>
  <c r="J128" i="8" s="1"/>
  <c r="I128" i="8"/>
  <c r="K128" i="8" s="1"/>
</calcChain>
</file>

<file path=xl/sharedStrings.xml><?xml version="1.0" encoding="utf-8"?>
<sst xmlns="http://schemas.openxmlformats.org/spreadsheetml/2006/main" count="24" uniqueCount="22">
  <si>
    <t>cos_tht</t>
    <phoneticPr fontId="1"/>
  </si>
  <si>
    <t>sin_tht</t>
    <phoneticPr fontId="1"/>
  </si>
  <si>
    <t>x</t>
    <phoneticPr fontId="1"/>
  </si>
  <si>
    <t>y</t>
    <phoneticPr fontId="1"/>
  </si>
  <si>
    <t>Robot Orginal Shape</t>
    <phoneticPr fontId="1"/>
  </si>
  <si>
    <t>dt</t>
    <phoneticPr fontId="1"/>
  </si>
  <si>
    <t>L</t>
    <phoneticPr fontId="1"/>
  </si>
  <si>
    <t>初期値</t>
    <rPh sb="0" eb="3">
      <t>ショキチ</t>
    </rPh>
    <phoneticPr fontId="1"/>
  </si>
  <si>
    <t>時間
t</t>
    <rPh sb="0" eb="2">
      <t>ジカン</t>
    </rPh>
    <phoneticPr fontId="1"/>
  </si>
  <si>
    <t>右車輪
速度 Vr</t>
    <rPh sb="0" eb="1">
      <t>ミギ</t>
    </rPh>
    <rPh sb="1" eb="3">
      <t>シャリン</t>
    </rPh>
    <rPh sb="4" eb="6">
      <t>ソクド</t>
    </rPh>
    <phoneticPr fontId="1"/>
  </si>
  <si>
    <t>左車輪
速度 Vl</t>
    <rPh sb="0" eb="1">
      <t>ヒダリ</t>
    </rPh>
    <rPh sb="1" eb="3">
      <t>シャリン</t>
    </rPh>
    <rPh sb="4" eb="6">
      <t>ソクド</t>
    </rPh>
    <phoneticPr fontId="1"/>
  </si>
  <si>
    <t>ロボット
速度 V</t>
    <rPh sb="5" eb="7">
      <t>ソクド</t>
    </rPh>
    <phoneticPr fontId="1"/>
  </si>
  <si>
    <t>ロボット
角速度 w</t>
    <rPh sb="5" eb="8">
      <t>カクソクド</t>
    </rPh>
    <phoneticPr fontId="1"/>
  </si>
  <si>
    <t>姿勢角
tht(rad)</t>
    <rPh sb="0" eb="2">
      <t>シセイ</t>
    </rPh>
    <rPh sb="2" eb="3">
      <t>カク</t>
    </rPh>
    <phoneticPr fontId="1"/>
  </si>
  <si>
    <t>姿勢角
tht(deg)</t>
    <rPh sb="0" eb="2">
      <t>シセイ</t>
    </rPh>
    <rPh sb="2" eb="3">
      <t>カク</t>
    </rPh>
    <phoneticPr fontId="1"/>
  </si>
  <si>
    <t>位置座標
 x</t>
    <rPh sb="0" eb="2">
      <t>イチ</t>
    </rPh>
    <rPh sb="2" eb="4">
      <t>ザヒョウ</t>
    </rPh>
    <phoneticPr fontId="1"/>
  </si>
  <si>
    <t>位置座標
 y</t>
    <rPh sb="0" eb="2">
      <t>イチ</t>
    </rPh>
    <rPh sb="2" eb="4">
      <t>ザヒョウ</t>
    </rPh>
    <phoneticPr fontId="1"/>
  </si>
  <si>
    <t>物理量
と記号</t>
    <rPh sb="0" eb="2">
      <t>ブツリ</t>
    </rPh>
    <rPh sb="2" eb="3">
      <t>リョウ</t>
    </rPh>
    <rPh sb="5" eb="7">
      <t>キゴウ</t>
    </rPh>
    <phoneticPr fontId="1"/>
  </si>
  <si>
    <t>計算周期
sample time</t>
    <rPh sb="0" eb="2">
      <t>ケイサン</t>
    </rPh>
    <rPh sb="2" eb="4">
      <t>シュウキ</t>
    </rPh>
    <phoneticPr fontId="1"/>
  </si>
  <si>
    <t>車輪間距離
wheel dist</t>
    <rPh sb="0" eb="2">
      <t>シャリン</t>
    </rPh>
    <rPh sb="2" eb="3">
      <t>カン</t>
    </rPh>
    <rPh sb="3" eb="5">
      <t>キョリ</t>
    </rPh>
    <phoneticPr fontId="1"/>
  </si>
  <si>
    <t>データ数
Num Data</t>
    <rPh sb="3" eb="4">
      <t>スウ</t>
    </rPh>
    <phoneticPr fontId="1"/>
  </si>
  <si>
    <t>Moved Robot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</si>
</sst>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0.0_ "/>
    <numFmt numFmtId="178" formatCode="0.000_ "/>
    <numFmt numFmtId="179" formatCode="0.0000_ "/>
    <numFmt numFmtId="180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HGｺﾞｼｯｸE"/>
      <family val="3"/>
      <charset val="128"/>
    </font>
    <font>
      <sz val="11"/>
      <color rgb="FF0033CC"/>
      <name val="游ゴシック"/>
      <family val="2"/>
      <charset val="128"/>
      <scheme val="minor"/>
    </font>
    <font>
      <sz val="11"/>
      <color rgb="FF003399"/>
      <name val="HGｺﾞｼｯｸE"/>
      <family val="3"/>
      <charset val="128"/>
    </font>
    <font>
      <sz val="11"/>
      <color theme="5" tint="-0.249977111117893"/>
      <name val="HGｺﾞｼｯｸE"/>
      <family val="3"/>
      <charset val="128"/>
    </font>
    <font>
      <sz val="11"/>
      <color theme="5" tint="-0.249977111117893"/>
      <name val="HGSｺﾞｼｯｸE"/>
      <family val="3"/>
      <charset val="128"/>
    </font>
    <font>
      <sz val="11"/>
      <color theme="5" tint="-0.249977111117893"/>
      <name val="HGPｺﾞｼｯｸE"/>
      <family val="3"/>
      <charset val="128"/>
    </font>
    <font>
      <sz val="1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176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9" fontId="0" fillId="0" borderId="0" xfId="0" applyNumberFormat="1" applyAlignment="1">
      <alignment horizontal="center" vertical="center"/>
    </xf>
    <xf numFmtId="178" fontId="0" fillId="5" borderId="0" xfId="0" applyNumberFormat="1" applyFill="1" applyAlignment="1">
      <alignment horizontal="right" vertical="center"/>
    </xf>
    <xf numFmtId="178" fontId="0" fillId="5" borderId="1" xfId="0" applyNumberFormat="1" applyFill="1" applyBorder="1">
      <alignment vertical="center"/>
    </xf>
    <xf numFmtId="178" fontId="0" fillId="5" borderId="0" xfId="0" applyNumberFormat="1" applyFill="1">
      <alignment vertical="center"/>
    </xf>
    <xf numFmtId="0" fontId="2" fillId="0" borderId="10" xfId="0" applyFont="1" applyFill="1" applyBorder="1" applyAlignment="1">
      <alignment horizontal="center" vertical="center"/>
    </xf>
    <xf numFmtId="176" fontId="3" fillId="0" borderId="6" xfId="0" applyNumberFormat="1" applyFont="1" applyFill="1" applyBorder="1" applyAlignment="1">
      <alignment horizontal="center" vertical="center"/>
    </xf>
    <xf numFmtId="176" fontId="3" fillId="0" borderId="7" xfId="0" applyNumberFormat="1" applyFont="1" applyFill="1" applyBorder="1" applyAlignment="1">
      <alignment horizontal="center" vertical="center"/>
    </xf>
    <xf numFmtId="179" fontId="3" fillId="0" borderId="7" xfId="0" applyNumberFormat="1" applyFont="1" applyFill="1" applyBorder="1" applyAlignment="1">
      <alignment horizontal="center" vertical="center"/>
    </xf>
    <xf numFmtId="177" fontId="3" fillId="0" borderId="7" xfId="0" applyNumberFormat="1" applyFont="1" applyFill="1" applyBorder="1" applyAlignment="1">
      <alignment horizontal="center" vertical="center"/>
    </xf>
    <xf numFmtId="178" fontId="3" fillId="0" borderId="7" xfId="0" applyNumberFormat="1" applyFont="1" applyFill="1" applyBorder="1" applyAlignment="1">
      <alignment horizontal="center" vertical="center"/>
    </xf>
    <xf numFmtId="179" fontId="3" fillId="0" borderId="8" xfId="0" applyNumberFormat="1" applyFont="1" applyFill="1" applyBorder="1" applyAlignment="1">
      <alignment horizontal="center" vertical="center"/>
    </xf>
    <xf numFmtId="180" fontId="0" fillId="0" borderId="1" xfId="0" applyNumberFormat="1" applyBorder="1">
      <alignment vertical="center"/>
    </xf>
    <xf numFmtId="178" fontId="0" fillId="0" borderId="2" xfId="0" applyNumberFormat="1" applyBorder="1">
      <alignment vertical="center"/>
    </xf>
    <xf numFmtId="178" fontId="0" fillId="0" borderId="11" xfId="0" applyNumberFormat="1" applyBorder="1">
      <alignment vertical="center"/>
    </xf>
    <xf numFmtId="176" fontId="4" fillId="3" borderId="3" xfId="0" applyNumberFormat="1" applyFont="1" applyFill="1" applyBorder="1" applyAlignment="1">
      <alignment horizontal="center" vertical="center" wrapText="1"/>
    </xf>
    <xf numFmtId="176" fontId="4" fillId="3" borderId="4" xfId="0" applyNumberFormat="1" applyFont="1" applyFill="1" applyBorder="1" applyAlignment="1">
      <alignment horizontal="center" vertical="center" wrapText="1"/>
    </xf>
    <xf numFmtId="179" fontId="4" fillId="3" borderId="4" xfId="0" applyNumberFormat="1" applyFont="1" applyFill="1" applyBorder="1" applyAlignment="1">
      <alignment horizontal="center" vertical="center" wrapText="1"/>
    </xf>
    <xf numFmtId="177" fontId="4" fillId="3" borderId="4" xfId="0" applyNumberFormat="1" applyFont="1" applyFill="1" applyBorder="1" applyAlignment="1">
      <alignment horizontal="center" vertical="center" wrapText="1"/>
    </xf>
    <xf numFmtId="178" fontId="4" fillId="3" borderId="4" xfId="0" applyNumberFormat="1" applyFont="1" applyFill="1" applyBorder="1" applyAlignment="1">
      <alignment horizontal="center" vertical="center"/>
    </xf>
    <xf numFmtId="179" fontId="4" fillId="3" borderId="5" xfId="0" applyNumberFormat="1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0" xfId="0" applyFont="1">
      <alignment vertical="center"/>
    </xf>
    <xf numFmtId="0" fontId="6" fillId="4" borderId="1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178" fontId="0" fillId="4" borderId="1" xfId="0" applyNumberFormat="1" applyFill="1" applyBorder="1">
      <alignment vertical="center"/>
    </xf>
    <xf numFmtId="178" fontId="0" fillId="4" borderId="0" xfId="0" applyNumberFormat="1" applyFill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176" fontId="8" fillId="4" borderId="0" xfId="0" applyNumberFormat="1" applyFon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6" borderId="0" xfId="0" applyNumberFormat="1" applyFill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CC"/>
      <color rgb="FFFFFFCC"/>
      <color rgb="FF0033CC"/>
      <color rgb="FF003399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accent2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solidFill>
                  <a:schemeClr val="accent2">
                    <a:lumMod val="75000"/>
                  </a:schemeClr>
                </a:solidFill>
                <a:latin typeface="HGPｺﾞｼｯｸE" panose="020B0900000000000000" pitchFamily="50" charset="-128"/>
                <a:ea typeface="HGPｺﾞｼｯｸE" panose="020B0900000000000000" pitchFamily="50" charset="-128"/>
              </a:rPr>
              <a:t>絵描きロボットの走行軌道</a:t>
            </a:r>
            <a:endParaRPr lang="en-US" altLang="ja-JP">
              <a:solidFill>
                <a:schemeClr val="accent2">
                  <a:lumMod val="75000"/>
                </a:schemeClr>
              </a:solidFill>
              <a:latin typeface="HGPｺﾞｼｯｸE" panose="020B0900000000000000" pitchFamily="50" charset="-128"/>
              <a:ea typeface="HGPｺﾞｼｯｸE" panose="020B0900000000000000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accent2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6.8202468257480817E-2"/>
          <c:y val="0.11047849085475975"/>
          <c:w val="0.87928857784046544"/>
          <c:h val="0.84106603070017016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RobotMotion!$J$2:$J$150</c:f>
              <c:numCache>
                <c:formatCode>0.0000_ </c:formatCode>
                <c:ptCount val="149"/>
                <c:pt idx="0">
                  <c:v>0</c:v>
                </c:pt>
                <c:pt idx="1">
                  <c:v>5.9381842637406404E-3</c:v>
                </c:pt>
                <c:pt idx="2">
                  <c:v>1.1876368527481281E-2</c:v>
                </c:pt>
                <c:pt idx="3">
                  <c:v>1.7814552791221922E-2</c:v>
                </c:pt>
                <c:pt idx="4">
                  <c:v>2.3752737054962562E-2</c:v>
                </c:pt>
                <c:pt idx="5">
                  <c:v>2.9690921318703201E-2</c:v>
                </c:pt>
                <c:pt idx="6">
                  <c:v>3.5629105582443844E-2</c:v>
                </c:pt>
                <c:pt idx="7">
                  <c:v>4.1567289846184484E-2</c:v>
                </c:pt>
                <c:pt idx="8">
                  <c:v>4.7505474109925123E-2</c:v>
                </c:pt>
                <c:pt idx="9">
                  <c:v>5.3443658373665763E-2</c:v>
                </c:pt>
                <c:pt idx="10">
                  <c:v>5.9381842637406403E-2</c:v>
                </c:pt>
                <c:pt idx="11">
                  <c:v>6.5320026901147049E-2</c:v>
                </c:pt>
                <c:pt idx="12">
                  <c:v>7.1258211164887689E-2</c:v>
                </c:pt>
                <c:pt idx="13">
                  <c:v>7.7196395428628328E-2</c:v>
                </c:pt>
                <c:pt idx="14">
                  <c:v>8.3134579692368968E-2</c:v>
                </c:pt>
                <c:pt idx="15">
                  <c:v>8.9072763956109607E-2</c:v>
                </c:pt>
                <c:pt idx="16">
                  <c:v>9.5010948219850247E-2</c:v>
                </c:pt>
                <c:pt idx="17">
                  <c:v>0.10094913248359089</c:v>
                </c:pt>
                <c:pt idx="18">
                  <c:v>0.10688731674733153</c:v>
                </c:pt>
                <c:pt idx="19">
                  <c:v>0.11282550101107217</c:v>
                </c:pt>
                <c:pt idx="20">
                  <c:v>0.11876368527481281</c:v>
                </c:pt>
                <c:pt idx="21">
                  <c:v>0.12470186953855344</c:v>
                </c:pt>
                <c:pt idx="22">
                  <c:v>0.1306400538022941</c:v>
                </c:pt>
                <c:pt idx="23">
                  <c:v>0.13657823806603475</c:v>
                </c:pt>
                <c:pt idx="24">
                  <c:v>0.14251642232977541</c:v>
                </c:pt>
                <c:pt idx="25">
                  <c:v>0.14845460659351606</c:v>
                </c:pt>
                <c:pt idx="26">
                  <c:v>0.15439279085725671</c:v>
                </c:pt>
                <c:pt idx="27">
                  <c:v>0.15629078014291597</c:v>
                </c:pt>
                <c:pt idx="28">
                  <c:v>0.15866376052222228</c:v>
                </c:pt>
                <c:pt idx="29">
                  <c:v>0.16114946770737457</c:v>
                </c:pt>
                <c:pt idx="30">
                  <c:v>0.16389931723340354</c:v>
                </c:pt>
                <c:pt idx="31">
                  <c:v>0.16728031672438912</c:v>
                </c:pt>
                <c:pt idx="32">
                  <c:v>0.17026711282541113</c:v>
                </c:pt>
                <c:pt idx="33">
                  <c:v>0.17223552228139344</c:v>
                </c:pt>
                <c:pt idx="34">
                  <c:v>0.1731612687321315</c:v>
                </c:pt>
                <c:pt idx="35">
                  <c:v>0.17303293496245806</c:v>
                </c:pt>
                <c:pt idx="36">
                  <c:v>0.17185210371056284</c:v>
                </c:pt>
                <c:pt idx="37">
                  <c:v>0.16963333814810946</c:v>
                </c:pt>
                <c:pt idx="38">
                  <c:v>0.1664040022728881</c:v>
                </c:pt>
                <c:pt idx="39">
                  <c:v>0.16220392342909795</c:v>
                </c:pt>
                <c:pt idx="40">
                  <c:v>0.15708490111739143</c:v>
                </c:pt>
                <c:pt idx="41">
                  <c:v>0.15111006815251726</c:v>
                </c:pt>
                <c:pt idx="42">
                  <c:v>0.14435311204739434</c:v>
                </c:pt>
                <c:pt idx="43">
                  <c:v>0.1368973662262733</c:v>
                </c:pt>
                <c:pt idx="44">
                  <c:v>0.12883478227503842</c:v>
                </c:pt>
                <c:pt idx="45">
                  <c:v>0.1202647959038692</c:v>
                </c:pt>
                <c:pt idx="46">
                  <c:v>0.1112931006083249</c:v>
                </c:pt>
                <c:pt idx="47">
                  <c:v>0.10203034415326881</c:v>
                </c:pt>
                <c:pt idx="48">
                  <c:v>9.2590763955873776E-2</c:v>
                </c:pt>
                <c:pt idx="49">
                  <c:v>8.3090778197507154E-2</c:v>
                </c:pt>
                <c:pt idx="50">
                  <c:v>7.3647550040288182E-2</c:v>
                </c:pt>
                <c:pt idx="51">
                  <c:v>6.437754265581043E-2</c:v>
                </c:pt>
                <c:pt idx="52">
                  <c:v>5.5395082886835485E-2</c:v>
                </c:pt>
                <c:pt idx="53">
                  <c:v>4.6810951256293601E-2</c:v>
                </c:pt>
                <c:pt idx="54">
                  <c:v>3.8731015712986316E-2</c:v>
                </c:pt>
                <c:pt idx="55">
                  <c:v>3.1254925963981842E-2</c:v>
                </c:pt>
                <c:pt idx="56">
                  <c:v>2.4474884496479603E-2</c:v>
                </c:pt>
                <c:pt idx="57">
                  <c:v>1.8474509446110225E-2</c:v>
                </c:pt>
                <c:pt idx="58">
                  <c:v>1.3327803335896803E-2</c:v>
                </c:pt>
                <c:pt idx="59">
                  <c:v>9.0982404044022622E-3</c:v>
                </c:pt>
                <c:pt idx="60">
                  <c:v>5.8379837790291638E-3</c:v>
                </c:pt>
                <c:pt idx="61">
                  <c:v>3.5872421490602759E-3</c:v>
                </c:pt>
                <c:pt idx="62">
                  <c:v>2.3737738725803253E-3</c:v>
                </c:pt>
                <c:pt idx="63">
                  <c:v>2.2125446331197904E-3</c:v>
                </c:pt>
                <c:pt idx="64">
                  <c:v>1.3195463981040814E-3</c:v>
                </c:pt>
                <c:pt idx="65">
                  <c:v>-6.1666597940585413E-4</c:v>
                </c:pt>
                <c:pt idx="66">
                  <c:v>-3.5722132252244028E-3</c:v>
                </c:pt>
                <c:pt idx="67">
                  <c:v>-7.5106446256430811E-3</c:v>
                </c:pt>
                <c:pt idx="68">
                  <c:v>-1.2383387573460206E-2</c:v>
                </c:pt>
                <c:pt idx="69">
                  <c:v>-1.8130346613116001E-2</c:v>
                </c:pt>
                <c:pt idx="70">
                  <c:v>-2.4680644596919717E-2</c:v>
                </c:pt>
                <c:pt idx="71">
                  <c:v>-3.1953496811701676E-2</c:v>
                </c:pt>
                <c:pt idx="72">
                  <c:v>-3.9859207295301166E-2</c:v>
                </c:pt>
                <c:pt idx="73">
                  <c:v>-4.8300275055335976E-2</c:v>
                </c:pt>
                <c:pt idx="74">
                  <c:v>-5.7172596547276328E-2</c:v>
                </c:pt>
                <c:pt idx="75">
                  <c:v>-6.6366749581681705E-2</c:v>
                </c:pt>
                <c:pt idx="76">
                  <c:v>-7.5769342826194547E-2</c:v>
                </c:pt>
                <c:pt idx="77">
                  <c:v>-8.5264414258905741E-2</c:v>
                </c:pt>
                <c:pt idx="78">
                  <c:v>-9.4734861325990433E-2</c:v>
                </c:pt>
                <c:pt idx="79">
                  <c:v>-0.10406388516550451</c:v>
                </c:pt>
                <c:pt idx="80">
                  <c:v>-0.1131364310857543</c:v>
                </c:pt>
                <c:pt idx="81">
                  <c:v>-0.12184060753284434</c:v>
                </c:pt>
                <c:pt idx="82">
                  <c:v>-0.13006906604730073</c:v>
                </c:pt>
                <c:pt idx="83">
                  <c:v>-0.1377203251907885</c:v>
                </c:pt>
                <c:pt idx="84">
                  <c:v>-0.14470002211495755</c:v>
                </c:pt>
                <c:pt idx="85">
                  <c:v>-0.15092207633683991</c:v>
                </c:pt>
                <c:pt idx="86">
                  <c:v>-0.15630975136797595</c:v>
                </c:pt>
                <c:pt idx="87">
                  <c:v>-0.16079660110421626</c:v>
                </c:pt>
                <c:pt idx="88">
                  <c:v>-0.1643272893043892</c:v>
                </c:pt>
                <c:pt idx="89">
                  <c:v>-0.16685827205121839</c:v>
                </c:pt>
                <c:pt idx="90">
                  <c:v>-0.16835833477771076</c:v>
                </c:pt>
                <c:pt idx="91">
                  <c:v>-0.1688089772358782</c:v>
                </c:pt>
                <c:pt idx="92">
                  <c:v>-0.16820464165998017</c:v>
                </c:pt>
                <c:pt idx="93">
                  <c:v>-0.16655278131035345</c:v>
                </c:pt>
                <c:pt idx="94">
                  <c:v>-0.16387376855247987</c:v>
                </c:pt>
                <c:pt idx="95">
                  <c:v>-0.1602006436049507</c:v>
                </c:pt>
                <c:pt idx="96">
                  <c:v>-0.15624957452524413</c:v>
                </c:pt>
                <c:pt idx="97">
                  <c:v>-0.15311861680925226</c:v>
                </c:pt>
                <c:pt idx="98">
                  <c:v>-0.15487881283520133</c:v>
                </c:pt>
                <c:pt idx="99">
                  <c:v>-0.15276521985555233</c:v>
                </c:pt>
                <c:pt idx="100">
                  <c:v>-0.15096724939333395</c:v>
                </c:pt>
                <c:pt idx="101">
                  <c:v>-0.1453342068198894</c:v>
                </c:pt>
                <c:pt idx="102">
                  <c:v>-0.13970116424644485</c:v>
                </c:pt>
                <c:pt idx="103">
                  <c:v>-0.13406812167300031</c:v>
                </c:pt>
                <c:pt idx="104">
                  <c:v>-0.12843507909955576</c:v>
                </c:pt>
                <c:pt idx="105">
                  <c:v>-0.1228020365261112</c:v>
                </c:pt>
                <c:pt idx="106">
                  <c:v>-0.11716899395266664</c:v>
                </c:pt>
                <c:pt idx="107">
                  <c:v>-0.11153595137922208</c:v>
                </c:pt>
                <c:pt idx="108">
                  <c:v>-0.10590290880577752</c:v>
                </c:pt>
                <c:pt idx="109">
                  <c:v>-0.10026986623233296</c:v>
                </c:pt>
                <c:pt idx="110">
                  <c:v>-9.4636823658888397E-2</c:v>
                </c:pt>
                <c:pt idx="111">
                  <c:v>-8.9003781085443837E-2</c:v>
                </c:pt>
                <c:pt idx="112">
                  <c:v>-8.3370738511999276E-2</c:v>
                </c:pt>
                <c:pt idx="113">
                  <c:v>-7.7737695938554716E-2</c:v>
                </c:pt>
                <c:pt idx="114">
                  <c:v>-7.2104653365110155E-2</c:v>
                </c:pt>
                <c:pt idx="115">
                  <c:v>-6.6471610791665595E-2</c:v>
                </c:pt>
                <c:pt idx="116">
                  <c:v>-6.0838568218221034E-2</c:v>
                </c:pt>
                <c:pt idx="117">
                  <c:v>-5.5205525644776474E-2</c:v>
                </c:pt>
                <c:pt idx="118">
                  <c:v>-4.9572483071331913E-2</c:v>
                </c:pt>
                <c:pt idx="119">
                  <c:v>-4.3939440497887353E-2</c:v>
                </c:pt>
                <c:pt idx="120">
                  <c:v>-3.8306397924442792E-2</c:v>
                </c:pt>
                <c:pt idx="121">
                  <c:v>-3.2673355350998232E-2</c:v>
                </c:pt>
                <c:pt idx="122">
                  <c:v>-2.7040312777553675E-2</c:v>
                </c:pt>
                <c:pt idx="123">
                  <c:v>-2.1407270204109118E-2</c:v>
                </c:pt>
                <c:pt idx="124">
                  <c:v>-1.5774227630664561E-2</c:v>
                </c:pt>
                <c:pt idx="125">
                  <c:v>-1.0141185057220004E-2</c:v>
                </c:pt>
                <c:pt idx="126">
                  <c:v>-4.5081424837754456E-3</c:v>
                </c:pt>
              </c:numCache>
            </c:numRef>
          </c:xVal>
          <c:yVal>
            <c:numRef>
              <c:f>RobotMotion!$K$2:$K$150</c:f>
              <c:numCache>
                <c:formatCode>0.0000_ </c:formatCode>
                <c:ptCount val="149"/>
                <c:pt idx="0">
                  <c:v>0</c:v>
                </c:pt>
                <c:pt idx="1">
                  <c:v>8.0459907811196926E-3</c:v>
                </c:pt>
                <c:pt idx="2">
                  <c:v>1.6091981562239385E-2</c:v>
                </c:pt>
                <c:pt idx="3">
                  <c:v>2.4137972343359078E-2</c:v>
                </c:pt>
                <c:pt idx="4">
                  <c:v>3.2183963124478771E-2</c:v>
                </c:pt>
                <c:pt idx="5">
                  <c:v>4.0229953905598463E-2</c:v>
                </c:pt>
                <c:pt idx="6">
                  <c:v>4.8275944686718156E-2</c:v>
                </c:pt>
                <c:pt idx="7">
                  <c:v>5.6321935467837848E-2</c:v>
                </c:pt>
                <c:pt idx="8">
                  <c:v>6.4367926248957541E-2</c:v>
                </c:pt>
                <c:pt idx="9">
                  <c:v>7.2413917030077241E-2</c:v>
                </c:pt>
                <c:pt idx="10">
                  <c:v>8.045990781119694E-2</c:v>
                </c:pt>
                <c:pt idx="11">
                  <c:v>8.850589859231664E-2</c:v>
                </c:pt>
                <c:pt idx="12">
                  <c:v>9.6551889373436339E-2</c:v>
                </c:pt>
                <c:pt idx="13">
                  <c:v>0.10459788015455604</c:v>
                </c:pt>
                <c:pt idx="14">
                  <c:v>0.11264387093567574</c:v>
                </c:pt>
                <c:pt idx="15">
                  <c:v>0.12068986171679544</c:v>
                </c:pt>
                <c:pt idx="16">
                  <c:v>0.12873585249791514</c:v>
                </c:pt>
                <c:pt idx="17">
                  <c:v>0.13678184327903484</c:v>
                </c:pt>
                <c:pt idx="18">
                  <c:v>0.14482783406015454</c:v>
                </c:pt>
                <c:pt idx="19">
                  <c:v>0.15287382484127424</c:v>
                </c:pt>
                <c:pt idx="20">
                  <c:v>0.16091981562239394</c:v>
                </c:pt>
                <c:pt idx="21">
                  <c:v>0.16896580640351364</c:v>
                </c:pt>
                <c:pt idx="22">
                  <c:v>0.17701179718463333</c:v>
                </c:pt>
                <c:pt idx="23">
                  <c:v>0.18505778796575303</c:v>
                </c:pt>
                <c:pt idx="24">
                  <c:v>0.19310377874687273</c:v>
                </c:pt>
                <c:pt idx="25">
                  <c:v>0.20114976952799243</c:v>
                </c:pt>
                <c:pt idx="26">
                  <c:v>0.20919576030911213</c:v>
                </c:pt>
                <c:pt idx="27">
                  <c:v>0.21183396740324303</c:v>
                </c:pt>
                <c:pt idx="28">
                  <c:v>0.21535979554985304</c:v>
                </c:pt>
                <c:pt idx="29">
                  <c:v>0.21940748128242696</c:v>
                </c:pt>
                <c:pt idx="30">
                  <c:v>0.22445731569398922</c:v>
                </c:pt>
                <c:pt idx="31">
                  <c:v>0.23198269558087567</c:v>
                </c:pt>
                <c:pt idx="32">
                  <c:v>0.24100095755594159</c:v>
                </c:pt>
                <c:pt idx="33">
                  <c:v>0.2502947922980488</c:v>
                </c:pt>
                <c:pt idx="34">
                  <c:v>0.25974957910204105</c:v>
                </c:pt>
                <c:pt idx="35">
                  <c:v>0.26924871224373148</c:v>
                </c:pt>
                <c:pt idx="36">
                  <c:v>0.27867503907630775</c:v>
                </c:pt>
                <c:pt idx="37">
                  <c:v>0.28791230487192448</c:v>
                </c:pt>
                <c:pt idx="38">
                  <c:v>0.29684658658927637</c:v>
                </c:pt>
                <c:pt idx="39">
                  <c:v>0.30536769788452106</c:v>
                </c:pt>
                <c:pt idx="40">
                  <c:v>0.31337054803757597</c:v>
                </c:pt>
                <c:pt idx="41">
                  <c:v>0.32075643803417442</c:v>
                </c:pt>
                <c:pt idx="42">
                  <c:v>0.32743427781912299</c:v>
                </c:pt>
                <c:pt idx="43">
                  <c:v>0.33332170970839664</c:v>
                </c:pt>
                <c:pt idx="44">
                  <c:v>0.33834612410504922</c:v>
                </c:pt>
                <c:pt idx="45">
                  <c:v>0.34244555499213269</c:v>
                </c:pt>
                <c:pt idx="46">
                  <c:v>0.34556944415852586</c:v>
                </c:pt>
                <c:pt idx="47">
                  <c:v>0.34767926473248867</c:v>
                </c:pt>
                <c:pt idx="48">
                  <c:v>0.34874899633291351</c:v>
                </c:pt>
                <c:pt idx="49">
                  <c:v>0.348765445978241</c:v>
                </c:pt>
                <c:pt idx="50">
                  <c:v>0.34772841079527622</c:v>
                </c:pt>
                <c:pt idx="51">
                  <c:v>0.34565068052122039</c:v>
                </c:pt>
                <c:pt idx="52">
                  <c:v>0.34255787976806046</c:v>
                </c:pt>
                <c:pt idx="53">
                  <c:v>0.33848815199466697</c:v>
                </c:pt>
                <c:pt idx="54">
                  <c:v>0.33349168908416721</c:v>
                </c:pt>
                <c:pt idx="55">
                  <c:v>0.32763011232830791</c:v>
                </c:pt>
                <c:pt idx="56">
                  <c:v>0.32097571245311629</c:v>
                </c:pt>
                <c:pt idx="57">
                  <c:v>0.31361055805861071</c:v>
                </c:pt>
                <c:pt idx="58">
                  <c:v>0.3056254834681581</c:v>
                </c:pt>
                <c:pt idx="59">
                  <c:v>0.29711896847031516</c:v>
                </c:pt>
                <c:pt idx="60">
                  <c:v>0.28819592376927783</c:v>
                </c:pt>
                <c:pt idx="61">
                  <c:v>0.27896639712295812</c:v>
                </c:pt>
                <c:pt idx="62">
                  <c:v>0.26954421612586532</c:v>
                </c:pt>
                <c:pt idx="63">
                  <c:v>0.26004558437532654</c:v>
                </c:pt>
                <c:pt idx="64">
                  <c:v>0.26950352041614745</c:v>
                </c:pt>
                <c:pt idx="65">
                  <c:v>0.27880411618357964</c:v>
                </c:pt>
                <c:pt idx="66">
                  <c:v>0.28783266758885695</c:v>
                </c:pt>
                <c:pt idx="67">
                  <c:v>0.29647782566168568</c:v>
                </c:pt>
                <c:pt idx="68">
                  <c:v>0.30463296981519383</c:v>
                </c:pt>
                <c:pt idx="69">
                  <c:v>0.31219752279580798</c:v>
                </c:pt>
                <c:pt idx="70">
                  <c:v>0.31907819110080404</c:v>
                </c:pt>
                <c:pt idx="71">
                  <c:v>0.325190115565483</c:v>
                </c:pt>
                <c:pt idx="72">
                  <c:v>0.33045791792980012</c:v>
                </c:pt>
                <c:pt idx="73">
                  <c:v>0.33481663047715871</c:v>
                </c:pt>
                <c:pt idx="74">
                  <c:v>0.33821249728014929</c:v>
                </c:pt>
                <c:pt idx="75">
                  <c:v>0.34060363717148445</c:v>
                </c:pt>
                <c:pt idx="76">
                  <c:v>0.34196056026371979</c:v>
                </c:pt>
                <c:pt idx="77">
                  <c:v>0.34226653164753196</c:v>
                </c:pt>
                <c:pt idx="78">
                  <c:v>0.34151777778306974</c:v>
                </c:pt>
                <c:pt idx="79">
                  <c:v>0.33972353303895647</c:v>
                </c:pt>
                <c:pt idx="80">
                  <c:v>0.33690592580497958</c:v>
                </c:pt>
                <c:pt idx="81">
                  <c:v>0.3330997055830372</c:v>
                </c:pt>
                <c:pt idx="82">
                  <c:v>0.3283518144221248</c:v>
                </c:pt>
                <c:pt idx="83">
                  <c:v>0.32272080798284641</c:v>
                </c:pt>
                <c:pt idx="84">
                  <c:v>0.31627613337145255</c:v>
                </c:pt>
                <c:pt idx="85">
                  <c:v>0.30909727264986475</c:v>
                </c:pt>
                <c:pt idx="86">
                  <c:v>0.30127276258476332</c:v>
                </c:pt>
                <c:pt idx="87">
                  <c:v>0.2928991027251559</c:v>
                </c:pt>
                <c:pt idx="88">
                  <c:v>0.28407956527508749</c:v>
                </c:pt>
                <c:pt idx="89">
                  <c:v>0.27492292143931157</c:v>
                </c:pt>
                <c:pt idx="90">
                  <c:v>0.2655420999498796</c:v>
                </c:pt>
                <c:pt idx="91">
                  <c:v>0.25605279431801714</c:v>
                </c:pt>
                <c:pt idx="92">
                  <c:v>0.2465720359880256</c:v>
                </c:pt>
                <c:pt idx="93">
                  <c:v>0.23721675099047843</c:v>
                </c:pt>
                <c:pt idx="94">
                  <c:v>0.22810231789548285</c:v>
                </c:pt>
                <c:pt idx="95">
                  <c:v>0.21934114485074513</c:v>
                </c:pt>
                <c:pt idx="96">
                  <c:v>0.21209880040109441</c:v>
                </c:pt>
                <c:pt idx="97">
                  <c:v>0.20727597925775196</c:v>
                </c:pt>
                <c:pt idx="98">
                  <c:v>0.21000804989194741</c:v>
                </c:pt>
                <c:pt idx="99">
                  <c:v>0.20661206333184762</c:v>
                </c:pt>
                <c:pt idx="100">
                  <c:v>0.20390470258436857</c:v>
                </c:pt>
                <c:pt idx="101">
                  <c:v>0.19564220711594252</c:v>
                </c:pt>
                <c:pt idx="102">
                  <c:v>0.18737971164751646</c:v>
                </c:pt>
                <c:pt idx="103">
                  <c:v>0.1791172161790904</c:v>
                </c:pt>
                <c:pt idx="104">
                  <c:v>0.17085472071066435</c:v>
                </c:pt>
                <c:pt idx="105">
                  <c:v>0.16259222524223829</c:v>
                </c:pt>
                <c:pt idx="106">
                  <c:v>0.15432972977381224</c:v>
                </c:pt>
                <c:pt idx="107">
                  <c:v>0.14606723430538618</c:v>
                </c:pt>
                <c:pt idx="108">
                  <c:v>0.13780473883696012</c:v>
                </c:pt>
                <c:pt idx="109">
                  <c:v>0.12954224336853407</c:v>
                </c:pt>
                <c:pt idx="110">
                  <c:v>0.12127974790010801</c:v>
                </c:pt>
                <c:pt idx="111">
                  <c:v>0.11301725243168195</c:v>
                </c:pt>
                <c:pt idx="112">
                  <c:v>0.1047547569632559</c:v>
                </c:pt>
                <c:pt idx="113">
                  <c:v>9.649226149482984E-2</c:v>
                </c:pt>
                <c:pt idx="114">
                  <c:v>8.8229766026403783E-2</c:v>
                </c:pt>
                <c:pt idx="115">
                  <c:v>7.9967270557977727E-2</c:v>
                </c:pt>
                <c:pt idx="116">
                  <c:v>7.170477508955167E-2</c:v>
                </c:pt>
                <c:pt idx="117">
                  <c:v>6.3442279621125613E-2</c:v>
                </c:pt>
                <c:pt idx="118">
                  <c:v>5.5179784152699557E-2</c:v>
                </c:pt>
                <c:pt idx="119">
                  <c:v>4.69172886842735E-2</c:v>
                </c:pt>
                <c:pt idx="120">
                  <c:v>3.8654793215847444E-2</c:v>
                </c:pt>
                <c:pt idx="121">
                  <c:v>3.0392297747421384E-2</c:v>
                </c:pt>
                <c:pt idx="122">
                  <c:v>2.2129802278995324E-2</c:v>
                </c:pt>
                <c:pt idx="123">
                  <c:v>1.3867306810569264E-2</c:v>
                </c:pt>
                <c:pt idx="124">
                  <c:v>5.6048113421432039E-3</c:v>
                </c:pt>
                <c:pt idx="125">
                  <c:v>-2.6576841262828561E-3</c:v>
                </c:pt>
                <c:pt idx="126">
                  <c:v>-1.0920179594708916E-2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87-409E-A303-C554BF44A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scatterChart>
        <c:scatterStyle val="lineMarker"/>
        <c:varyColors val="0"/>
        <c:ser>
          <c:idx val="1"/>
          <c:order val="1"/>
          <c:tx>
            <c:v>Robot Init Position</c:v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xVal>
            <c:numRef>
              <c:f>RobotMotion!$S$3:$S$13</c:f>
              <c:numCache>
                <c:formatCode>0.000_ </c:formatCode>
                <c:ptCount val="11"/>
                <c:pt idx="0">
                  <c:v>-0.04</c:v>
                </c:pt>
                <c:pt idx="1">
                  <c:v>0.09</c:v>
                </c:pt>
                <c:pt idx="2">
                  <c:v>0.09</c:v>
                </c:pt>
                <c:pt idx="3">
                  <c:v>-0.04</c:v>
                </c:pt>
                <c:pt idx="4">
                  <c:v>-0.04</c:v>
                </c:pt>
                <c:pt idx="6">
                  <c:v>-0.04</c:v>
                </c:pt>
                <c:pt idx="7">
                  <c:v>0.04</c:v>
                </c:pt>
                <c:pt idx="9">
                  <c:v>-0.04</c:v>
                </c:pt>
                <c:pt idx="10">
                  <c:v>0.04</c:v>
                </c:pt>
              </c:numCache>
            </c:numRef>
          </c:xVal>
          <c:yVal>
            <c:numRef>
              <c:f>RobotMotion!$T$3:$T$13</c:f>
              <c:numCache>
                <c:formatCode>0.000_ </c:formatCode>
                <c:ptCount val="11"/>
                <c:pt idx="0">
                  <c:v>0.05</c:v>
                </c:pt>
                <c:pt idx="1">
                  <c:v>0.05</c:v>
                </c:pt>
                <c:pt idx="2">
                  <c:v>-0.05</c:v>
                </c:pt>
                <c:pt idx="3">
                  <c:v>-0.05</c:v>
                </c:pt>
                <c:pt idx="4">
                  <c:v>0.05</c:v>
                </c:pt>
                <c:pt idx="6">
                  <c:v>7.0000000000000007E-2</c:v>
                </c:pt>
                <c:pt idx="7">
                  <c:v>7.0000000000000007E-2</c:v>
                </c:pt>
                <c:pt idx="9">
                  <c:v>-7.0000000000000007E-2</c:v>
                </c:pt>
                <c:pt idx="10">
                  <c:v>-7.0000000000000007E-2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87-409E-A303-C554BF44AED3}"/>
            </c:ext>
          </c:extLst>
        </c:ser>
        <c:ser>
          <c:idx val="2"/>
          <c:order val="2"/>
          <c:tx>
            <c:v>Realtime Robot</c:v>
          </c:tx>
          <c:spPr>
            <a:ln w="317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RobotMotion!$V$3:$V$13</c:f>
              <c:numCache>
                <c:formatCode>0.000_ 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xVal>
          <c:yVal>
            <c:numRef>
              <c:f>RobotMotion!$W$3:$W$13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2-481B-8DAB-0D718F9E3D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3241152"/>
        <c:axId val="1301037488"/>
      </c:scatterChart>
      <c:valAx>
        <c:axId val="1303241152"/>
        <c:scaling>
          <c:orientation val="minMax"/>
          <c:max val="0.4"/>
          <c:min val="-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1037488"/>
        <c:crosses val="autoZero"/>
        <c:crossBetween val="midCat"/>
      </c:valAx>
      <c:valAx>
        <c:axId val="1301037488"/>
        <c:scaling>
          <c:orientation val="minMax"/>
          <c:max val="0.4"/>
          <c:min val="-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303241152"/>
        <c:crosses val="autoZero"/>
        <c:crossBetween val="midCat"/>
      </c:valAx>
      <c:spPr>
        <a:solidFill>
          <a:srgbClr val="CCFFCC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車輪速度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RobotMotion!$B$1</c:f>
              <c:strCache>
                <c:ptCount val="1"/>
                <c:pt idx="0">
                  <c:v>右車輪
速度 Vr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RobotMotion!$A$3:$A$28</c:f>
              <c:numCache>
                <c:formatCode>0.00_ </c:formatCode>
                <c:ptCount val="2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1.1499999999999999</c:v>
                </c:pt>
                <c:pt idx="23">
                  <c:v>1.2</c:v>
                </c:pt>
                <c:pt idx="24">
                  <c:v>1.25</c:v>
                </c:pt>
                <c:pt idx="25">
                  <c:v>1.3</c:v>
                </c:pt>
              </c:numCache>
            </c:numRef>
          </c:cat>
          <c:val>
            <c:numRef>
              <c:f>RobotMotion!$B$3:$B$28</c:f>
              <c:numCache>
                <c:formatCode>0.00_ </c:formatCode>
                <c:ptCount val="2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04-43FC-AC0F-26509CCCF577}"/>
            </c:ext>
          </c:extLst>
        </c:ser>
        <c:ser>
          <c:idx val="1"/>
          <c:order val="1"/>
          <c:tx>
            <c:strRef>
              <c:f>RobotMotion!$C$1</c:f>
              <c:strCache>
                <c:ptCount val="1"/>
                <c:pt idx="0">
                  <c:v>左車輪
速度 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RobotMotion!$A$3:$A$28</c:f>
              <c:numCache>
                <c:formatCode>0.00_ </c:formatCode>
                <c:ptCount val="26"/>
                <c:pt idx="0">
                  <c:v>0.05</c:v>
                </c:pt>
                <c:pt idx="1">
                  <c:v>0.1</c:v>
                </c:pt>
                <c:pt idx="2">
                  <c:v>0.15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0.4</c:v>
                </c:pt>
                <c:pt idx="8">
                  <c:v>0.45</c:v>
                </c:pt>
                <c:pt idx="9">
                  <c:v>0.5</c:v>
                </c:pt>
                <c:pt idx="10">
                  <c:v>0.55000000000000004</c:v>
                </c:pt>
                <c:pt idx="11">
                  <c:v>0.6</c:v>
                </c:pt>
                <c:pt idx="12">
                  <c:v>0.65</c:v>
                </c:pt>
                <c:pt idx="13">
                  <c:v>0.7</c:v>
                </c:pt>
                <c:pt idx="14">
                  <c:v>0.75</c:v>
                </c:pt>
                <c:pt idx="15">
                  <c:v>0.8</c:v>
                </c:pt>
                <c:pt idx="16">
                  <c:v>0.85</c:v>
                </c:pt>
                <c:pt idx="17">
                  <c:v>0.9</c:v>
                </c:pt>
                <c:pt idx="18">
                  <c:v>0.95</c:v>
                </c:pt>
                <c:pt idx="19">
                  <c:v>1</c:v>
                </c:pt>
                <c:pt idx="20">
                  <c:v>1.05</c:v>
                </c:pt>
                <c:pt idx="21">
                  <c:v>1.1000000000000001</c:v>
                </c:pt>
                <c:pt idx="22">
                  <c:v>1.1499999999999999</c:v>
                </c:pt>
                <c:pt idx="23">
                  <c:v>1.2</c:v>
                </c:pt>
                <c:pt idx="24">
                  <c:v>1.25</c:v>
                </c:pt>
                <c:pt idx="25">
                  <c:v>1.3</c:v>
                </c:pt>
              </c:numCache>
            </c:numRef>
          </c:cat>
          <c:val>
            <c:numRef>
              <c:f>RobotMotion!$C$3:$C$28</c:f>
              <c:numCache>
                <c:formatCode>0.00_ </c:formatCode>
                <c:ptCount val="26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04-43FC-AC0F-26509CCCF5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5684015"/>
        <c:axId val="82462991"/>
      </c:lineChart>
      <c:catAx>
        <c:axId val="21568401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462991"/>
        <c:crosses val="autoZero"/>
        <c:auto val="1"/>
        <c:lblAlgn val="ctr"/>
        <c:lblOffset val="100"/>
        <c:noMultiLvlLbl val="0"/>
      </c:catAx>
      <c:valAx>
        <c:axId val="8246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156840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車輪速度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RobotMotion!$B$1</c:f>
              <c:strCache>
                <c:ptCount val="1"/>
                <c:pt idx="0">
                  <c:v>右車輪
速度 Vr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RobotMotion!$A$29:$A$65</c:f>
              <c:numCache>
                <c:formatCode>0.00_ </c:formatCode>
                <c:ptCount val="37"/>
                <c:pt idx="0">
                  <c:v>1.35</c:v>
                </c:pt>
                <c:pt idx="1">
                  <c:v>1.4</c:v>
                </c:pt>
                <c:pt idx="2">
                  <c:v>1.45</c:v>
                </c:pt>
                <c:pt idx="3">
                  <c:v>1.5</c:v>
                </c:pt>
                <c:pt idx="4">
                  <c:v>1.55</c:v>
                </c:pt>
                <c:pt idx="5">
                  <c:v>1.6</c:v>
                </c:pt>
                <c:pt idx="6">
                  <c:v>1.65</c:v>
                </c:pt>
                <c:pt idx="7">
                  <c:v>1.7</c:v>
                </c:pt>
                <c:pt idx="8">
                  <c:v>1.75</c:v>
                </c:pt>
                <c:pt idx="9">
                  <c:v>1.8</c:v>
                </c:pt>
                <c:pt idx="10">
                  <c:v>1.85</c:v>
                </c:pt>
                <c:pt idx="11">
                  <c:v>1.9</c:v>
                </c:pt>
                <c:pt idx="12">
                  <c:v>1.95</c:v>
                </c:pt>
                <c:pt idx="13">
                  <c:v>2</c:v>
                </c:pt>
                <c:pt idx="14">
                  <c:v>2.0499999999999998</c:v>
                </c:pt>
                <c:pt idx="15">
                  <c:v>2.1</c:v>
                </c:pt>
                <c:pt idx="16">
                  <c:v>2.15</c:v>
                </c:pt>
                <c:pt idx="17">
                  <c:v>2.2000000000000002</c:v>
                </c:pt>
                <c:pt idx="18">
                  <c:v>2.25</c:v>
                </c:pt>
                <c:pt idx="19">
                  <c:v>2.2999999999999998</c:v>
                </c:pt>
                <c:pt idx="20">
                  <c:v>2.35</c:v>
                </c:pt>
                <c:pt idx="21">
                  <c:v>2.4</c:v>
                </c:pt>
                <c:pt idx="22">
                  <c:v>2.4500000000000002</c:v>
                </c:pt>
                <c:pt idx="23">
                  <c:v>2.5</c:v>
                </c:pt>
                <c:pt idx="24">
                  <c:v>2.5499999999999998</c:v>
                </c:pt>
                <c:pt idx="25">
                  <c:v>2.6</c:v>
                </c:pt>
                <c:pt idx="26">
                  <c:v>2.65</c:v>
                </c:pt>
                <c:pt idx="27">
                  <c:v>2.7</c:v>
                </c:pt>
                <c:pt idx="28">
                  <c:v>2.75</c:v>
                </c:pt>
                <c:pt idx="29">
                  <c:v>2.8</c:v>
                </c:pt>
                <c:pt idx="30">
                  <c:v>2.85</c:v>
                </c:pt>
                <c:pt idx="31">
                  <c:v>2.9</c:v>
                </c:pt>
                <c:pt idx="32">
                  <c:v>2.95</c:v>
                </c:pt>
                <c:pt idx="33">
                  <c:v>3</c:v>
                </c:pt>
                <c:pt idx="34">
                  <c:v>3.05</c:v>
                </c:pt>
                <c:pt idx="35">
                  <c:v>3.1</c:v>
                </c:pt>
                <c:pt idx="36">
                  <c:v>3.15</c:v>
                </c:pt>
              </c:numCache>
            </c:numRef>
          </c:cat>
          <c:val>
            <c:numRef>
              <c:f>RobotMotion!$B$29:$B$65</c:f>
              <c:numCache>
                <c:formatCode>0.00_ </c:formatCode>
                <c:ptCount val="37"/>
                <c:pt idx="0">
                  <c:v>0.1</c:v>
                </c:pt>
                <c:pt idx="1">
                  <c:v>0.14000000000000001</c:v>
                </c:pt>
                <c:pt idx="2">
                  <c:v>0.16</c:v>
                </c:pt>
                <c:pt idx="3">
                  <c:v>0.2</c:v>
                </c:pt>
                <c:pt idx="4">
                  <c:v>0.3</c:v>
                </c:pt>
                <c:pt idx="5">
                  <c:v>0.35</c:v>
                </c:pt>
                <c:pt idx="6">
                  <c:v>0.35</c:v>
                </c:pt>
                <c:pt idx="7">
                  <c:v>0.35</c:v>
                </c:pt>
                <c:pt idx="8">
                  <c:v>0.35</c:v>
                </c:pt>
                <c:pt idx="9">
                  <c:v>0.35</c:v>
                </c:pt>
                <c:pt idx="10">
                  <c:v>0.35</c:v>
                </c:pt>
                <c:pt idx="11">
                  <c:v>0.35</c:v>
                </c:pt>
                <c:pt idx="12">
                  <c:v>0.35</c:v>
                </c:pt>
                <c:pt idx="13">
                  <c:v>0.35</c:v>
                </c:pt>
                <c:pt idx="14">
                  <c:v>0.35</c:v>
                </c:pt>
                <c:pt idx="15">
                  <c:v>0.35</c:v>
                </c:pt>
                <c:pt idx="16">
                  <c:v>0.35</c:v>
                </c:pt>
                <c:pt idx="17">
                  <c:v>0.35</c:v>
                </c:pt>
                <c:pt idx="18">
                  <c:v>0.35</c:v>
                </c:pt>
                <c:pt idx="19">
                  <c:v>0.35</c:v>
                </c:pt>
                <c:pt idx="20">
                  <c:v>0.35</c:v>
                </c:pt>
                <c:pt idx="21">
                  <c:v>0.35</c:v>
                </c:pt>
                <c:pt idx="22">
                  <c:v>0.35</c:v>
                </c:pt>
                <c:pt idx="23">
                  <c:v>0.35</c:v>
                </c:pt>
                <c:pt idx="24">
                  <c:v>0.35</c:v>
                </c:pt>
                <c:pt idx="25">
                  <c:v>0.35</c:v>
                </c:pt>
                <c:pt idx="26">
                  <c:v>0.35</c:v>
                </c:pt>
                <c:pt idx="27">
                  <c:v>0.35</c:v>
                </c:pt>
                <c:pt idx="28">
                  <c:v>0.35</c:v>
                </c:pt>
                <c:pt idx="29">
                  <c:v>0.35</c:v>
                </c:pt>
                <c:pt idx="30">
                  <c:v>0.35</c:v>
                </c:pt>
                <c:pt idx="31">
                  <c:v>0.35</c:v>
                </c:pt>
                <c:pt idx="32">
                  <c:v>0.35</c:v>
                </c:pt>
                <c:pt idx="33">
                  <c:v>0.35</c:v>
                </c:pt>
                <c:pt idx="34">
                  <c:v>0.35</c:v>
                </c:pt>
                <c:pt idx="35">
                  <c:v>0.35</c:v>
                </c:pt>
                <c:pt idx="36">
                  <c:v>0.35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B-4354-B2A7-EC57907983FE}"/>
            </c:ext>
          </c:extLst>
        </c:ser>
        <c:ser>
          <c:idx val="1"/>
          <c:order val="1"/>
          <c:tx>
            <c:strRef>
              <c:f>RobotMotion!$C$1</c:f>
              <c:strCache>
                <c:ptCount val="1"/>
                <c:pt idx="0">
                  <c:v>左車輪
速度 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RobotMotion!$A$29:$A$65</c:f>
              <c:numCache>
                <c:formatCode>0.00_ </c:formatCode>
                <c:ptCount val="37"/>
                <c:pt idx="0">
                  <c:v>1.35</c:v>
                </c:pt>
                <c:pt idx="1">
                  <c:v>1.4</c:v>
                </c:pt>
                <c:pt idx="2">
                  <c:v>1.45</c:v>
                </c:pt>
                <c:pt idx="3">
                  <c:v>1.5</c:v>
                </c:pt>
                <c:pt idx="4">
                  <c:v>1.55</c:v>
                </c:pt>
                <c:pt idx="5">
                  <c:v>1.6</c:v>
                </c:pt>
                <c:pt idx="6">
                  <c:v>1.65</c:v>
                </c:pt>
                <c:pt idx="7">
                  <c:v>1.7</c:v>
                </c:pt>
                <c:pt idx="8">
                  <c:v>1.75</c:v>
                </c:pt>
                <c:pt idx="9">
                  <c:v>1.8</c:v>
                </c:pt>
                <c:pt idx="10">
                  <c:v>1.85</c:v>
                </c:pt>
                <c:pt idx="11">
                  <c:v>1.9</c:v>
                </c:pt>
                <c:pt idx="12">
                  <c:v>1.95</c:v>
                </c:pt>
                <c:pt idx="13">
                  <c:v>2</c:v>
                </c:pt>
                <c:pt idx="14">
                  <c:v>2.0499999999999998</c:v>
                </c:pt>
                <c:pt idx="15">
                  <c:v>2.1</c:v>
                </c:pt>
                <c:pt idx="16">
                  <c:v>2.15</c:v>
                </c:pt>
                <c:pt idx="17">
                  <c:v>2.2000000000000002</c:v>
                </c:pt>
                <c:pt idx="18">
                  <c:v>2.25</c:v>
                </c:pt>
                <c:pt idx="19">
                  <c:v>2.2999999999999998</c:v>
                </c:pt>
                <c:pt idx="20">
                  <c:v>2.35</c:v>
                </c:pt>
                <c:pt idx="21">
                  <c:v>2.4</c:v>
                </c:pt>
                <c:pt idx="22">
                  <c:v>2.4500000000000002</c:v>
                </c:pt>
                <c:pt idx="23">
                  <c:v>2.5</c:v>
                </c:pt>
                <c:pt idx="24">
                  <c:v>2.5499999999999998</c:v>
                </c:pt>
                <c:pt idx="25">
                  <c:v>2.6</c:v>
                </c:pt>
                <c:pt idx="26">
                  <c:v>2.65</c:v>
                </c:pt>
                <c:pt idx="27">
                  <c:v>2.7</c:v>
                </c:pt>
                <c:pt idx="28">
                  <c:v>2.75</c:v>
                </c:pt>
                <c:pt idx="29">
                  <c:v>2.8</c:v>
                </c:pt>
                <c:pt idx="30">
                  <c:v>2.85</c:v>
                </c:pt>
                <c:pt idx="31">
                  <c:v>2.9</c:v>
                </c:pt>
                <c:pt idx="32">
                  <c:v>2.95</c:v>
                </c:pt>
                <c:pt idx="33">
                  <c:v>3</c:v>
                </c:pt>
                <c:pt idx="34">
                  <c:v>3.05</c:v>
                </c:pt>
                <c:pt idx="35">
                  <c:v>3.1</c:v>
                </c:pt>
                <c:pt idx="36">
                  <c:v>3.15</c:v>
                </c:pt>
              </c:numCache>
            </c:numRef>
          </c:cat>
          <c:val>
            <c:numRef>
              <c:f>RobotMotion!$C$29:$C$65</c:f>
              <c:numCache>
                <c:formatCode>0.00_ </c:formatCode>
                <c:ptCount val="37"/>
                <c:pt idx="0">
                  <c:v>0.03</c:v>
                </c:pt>
                <c:pt idx="1">
                  <c:v>0.03</c:v>
                </c:pt>
                <c:pt idx="2">
                  <c:v>0.03</c:v>
                </c:pt>
                <c:pt idx="3">
                  <c:v>0.03</c:v>
                </c:pt>
                <c:pt idx="4">
                  <c:v>0.03</c:v>
                </c:pt>
                <c:pt idx="5">
                  <c:v>0.03</c:v>
                </c:pt>
                <c:pt idx="6">
                  <c:v>0.03</c:v>
                </c:pt>
                <c:pt idx="7">
                  <c:v>0.03</c:v>
                </c:pt>
                <c:pt idx="8">
                  <c:v>0.03</c:v>
                </c:pt>
                <c:pt idx="9">
                  <c:v>0.03</c:v>
                </c:pt>
                <c:pt idx="10">
                  <c:v>0.03</c:v>
                </c:pt>
                <c:pt idx="11">
                  <c:v>0.03</c:v>
                </c:pt>
                <c:pt idx="12">
                  <c:v>0.03</c:v>
                </c:pt>
                <c:pt idx="13">
                  <c:v>0.03</c:v>
                </c:pt>
                <c:pt idx="14">
                  <c:v>0.03</c:v>
                </c:pt>
                <c:pt idx="15">
                  <c:v>0.03</c:v>
                </c:pt>
                <c:pt idx="16">
                  <c:v>0.03</c:v>
                </c:pt>
                <c:pt idx="17">
                  <c:v>0.03</c:v>
                </c:pt>
                <c:pt idx="18">
                  <c:v>0.03</c:v>
                </c:pt>
                <c:pt idx="19">
                  <c:v>0.03</c:v>
                </c:pt>
                <c:pt idx="20">
                  <c:v>0.03</c:v>
                </c:pt>
                <c:pt idx="21">
                  <c:v>0.03</c:v>
                </c:pt>
                <c:pt idx="22">
                  <c:v>0.03</c:v>
                </c:pt>
                <c:pt idx="23">
                  <c:v>0.03</c:v>
                </c:pt>
                <c:pt idx="24">
                  <c:v>0.03</c:v>
                </c:pt>
                <c:pt idx="25">
                  <c:v>0.03</c:v>
                </c:pt>
                <c:pt idx="26">
                  <c:v>0.03</c:v>
                </c:pt>
                <c:pt idx="27">
                  <c:v>0.03</c:v>
                </c:pt>
                <c:pt idx="28">
                  <c:v>0.03</c:v>
                </c:pt>
                <c:pt idx="29">
                  <c:v>0.03</c:v>
                </c:pt>
                <c:pt idx="30">
                  <c:v>0.03</c:v>
                </c:pt>
                <c:pt idx="31">
                  <c:v>0.03</c:v>
                </c:pt>
                <c:pt idx="32">
                  <c:v>0.03</c:v>
                </c:pt>
                <c:pt idx="33">
                  <c:v>0.03</c:v>
                </c:pt>
                <c:pt idx="34">
                  <c:v>0.03</c:v>
                </c:pt>
                <c:pt idx="35">
                  <c:v>0.03</c:v>
                </c:pt>
                <c:pt idx="36">
                  <c:v>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B-4354-B2A7-EC5790798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7827471"/>
        <c:axId val="82446767"/>
      </c:lineChart>
      <c:catAx>
        <c:axId val="2278274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446767"/>
        <c:crosses val="autoZero"/>
        <c:auto val="1"/>
        <c:lblAlgn val="ctr"/>
        <c:lblOffset val="100"/>
        <c:noMultiLvlLbl val="0"/>
      </c:catAx>
      <c:valAx>
        <c:axId val="82446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27827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車輪速度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033464566929133"/>
          <c:y val="0.14237010978839318"/>
          <c:w val="0.8080194663167104"/>
          <c:h val="0.51860599081886183"/>
        </c:manualLayout>
      </c:layout>
      <c:lineChart>
        <c:grouping val="standard"/>
        <c:varyColors val="0"/>
        <c:ser>
          <c:idx val="0"/>
          <c:order val="0"/>
          <c:tx>
            <c:strRef>
              <c:f>RobotMotion!$B$1</c:f>
              <c:strCache>
                <c:ptCount val="1"/>
                <c:pt idx="0">
                  <c:v>右車輪
速度 Vr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RobotMotion!$A$66:$A$102</c:f>
              <c:numCache>
                <c:formatCode>0.00_ </c:formatCode>
                <c:ptCount val="37"/>
                <c:pt idx="0">
                  <c:v>3.2</c:v>
                </c:pt>
                <c:pt idx="1">
                  <c:v>3.25</c:v>
                </c:pt>
                <c:pt idx="2">
                  <c:v>3.3</c:v>
                </c:pt>
                <c:pt idx="3">
                  <c:v>3.35</c:v>
                </c:pt>
                <c:pt idx="4">
                  <c:v>3.4</c:v>
                </c:pt>
                <c:pt idx="5">
                  <c:v>3.45</c:v>
                </c:pt>
                <c:pt idx="6">
                  <c:v>3.5</c:v>
                </c:pt>
                <c:pt idx="7">
                  <c:v>3.55</c:v>
                </c:pt>
                <c:pt idx="8">
                  <c:v>3.6</c:v>
                </c:pt>
                <c:pt idx="9">
                  <c:v>3.65</c:v>
                </c:pt>
                <c:pt idx="10">
                  <c:v>3.7</c:v>
                </c:pt>
                <c:pt idx="11">
                  <c:v>3.75</c:v>
                </c:pt>
                <c:pt idx="12">
                  <c:v>3.8</c:v>
                </c:pt>
                <c:pt idx="13">
                  <c:v>3.85</c:v>
                </c:pt>
                <c:pt idx="14">
                  <c:v>3.9</c:v>
                </c:pt>
                <c:pt idx="15">
                  <c:v>3.95</c:v>
                </c:pt>
                <c:pt idx="16">
                  <c:v>4</c:v>
                </c:pt>
                <c:pt idx="17">
                  <c:v>4.05</c:v>
                </c:pt>
                <c:pt idx="18">
                  <c:v>4.0999999999999996</c:v>
                </c:pt>
                <c:pt idx="19">
                  <c:v>4.1500000000000004</c:v>
                </c:pt>
                <c:pt idx="20">
                  <c:v>4.2</c:v>
                </c:pt>
                <c:pt idx="21">
                  <c:v>4.25</c:v>
                </c:pt>
                <c:pt idx="22">
                  <c:v>4.3</c:v>
                </c:pt>
                <c:pt idx="23">
                  <c:v>4.3499999999999996</c:v>
                </c:pt>
                <c:pt idx="24">
                  <c:v>4.4000000000000004</c:v>
                </c:pt>
                <c:pt idx="25">
                  <c:v>4.45</c:v>
                </c:pt>
                <c:pt idx="26">
                  <c:v>4.5</c:v>
                </c:pt>
                <c:pt idx="27">
                  <c:v>4.55</c:v>
                </c:pt>
                <c:pt idx="28">
                  <c:v>4.5999999999999996</c:v>
                </c:pt>
                <c:pt idx="29">
                  <c:v>4.6500000000000004</c:v>
                </c:pt>
                <c:pt idx="30">
                  <c:v>4.7</c:v>
                </c:pt>
                <c:pt idx="31">
                  <c:v>4.7500000000000098</c:v>
                </c:pt>
                <c:pt idx="32">
                  <c:v>4.8000000000000096</c:v>
                </c:pt>
                <c:pt idx="33">
                  <c:v>4.8499999999999996</c:v>
                </c:pt>
                <c:pt idx="34">
                  <c:v>4.9000000000000101</c:v>
                </c:pt>
                <c:pt idx="35">
                  <c:v>4.9500000000000099</c:v>
                </c:pt>
                <c:pt idx="36">
                  <c:v>5.0000000000000098</c:v>
                </c:pt>
              </c:numCache>
            </c:numRef>
          </c:cat>
          <c:val>
            <c:numRef>
              <c:f>RobotMotion!$B$66:$B$102</c:f>
              <c:numCache>
                <c:formatCode>0.00_ </c:formatCode>
                <c:ptCount val="37"/>
                <c:pt idx="0">
                  <c:v>-0.03</c:v>
                </c:pt>
                <c:pt idx="1">
                  <c:v>-0.03</c:v>
                </c:pt>
                <c:pt idx="2">
                  <c:v>-0.03</c:v>
                </c:pt>
                <c:pt idx="3">
                  <c:v>-0.03</c:v>
                </c:pt>
                <c:pt idx="4">
                  <c:v>-0.03</c:v>
                </c:pt>
                <c:pt idx="5">
                  <c:v>-0.03</c:v>
                </c:pt>
                <c:pt idx="6">
                  <c:v>-0.03</c:v>
                </c:pt>
                <c:pt idx="7">
                  <c:v>-0.03</c:v>
                </c:pt>
                <c:pt idx="8">
                  <c:v>-0.03</c:v>
                </c:pt>
                <c:pt idx="9">
                  <c:v>-0.03</c:v>
                </c:pt>
                <c:pt idx="10">
                  <c:v>-0.03</c:v>
                </c:pt>
                <c:pt idx="11">
                  <c:v>-0.03</c:v>
                </c:pt>
                <c:pt idx="12">
                  <c:v>-0.03</c:v>
                </c:pt>
                <c:pt idx="13">
                  <c:v>-0.03</c:v>
                </c:pt>
                <c:pt idx="14">
                  <c:v>-0.03</c:v>
                </c:pt>
                <c:pt idx="15">
                  <c:v>-0.03</c:v>
                </c:pt>
                <c:pt idx="16">
                  <c:v>-0.03</c:v>
                </c:pt>
                <c:pt idx="17">
                  <c:v>-0.03</c:v>
                </c:pt>
                <c:pt idx="18">
                  <c:v>-0.03</c:v>
                </c:pt>
                <c:pt idx="19">
                  <c:v>-0.03</c:v>
                </c:pt>
                <c:pt idx="20">
                  <c:v>-0.03</c:v>
                </c:pt>
                <c:pt idx="21">
                  <c:v>-0.03</c:v>
                </c:pt>
                <c:pt idx="22">
                  <c:v>-0.03</c:v>
                </c:pt>
                <c:pt idx="23">
                  <c:v>-0.03</c:v>
                </c:pt>
                <c:pt idx="24">
                  <c:v>-0.03</c:v>
                </c:pt>
                <c:pt idx="25">
                  <c:v>-0.03</c:v>
                </c:pt>
                <c:pt idx="26">
                  <c:v>-0.03</c:v>
                </c:pt>
                <c:pt idx="27">
                  <c:v>-0.03</c:v>
                </c:pt>
                <c:pt idx="28">
                  <c:v>-0.03</c:v>
                </c:pt>
                <c:pt idx="29">
                  <c:v>-0.03</c:v>
                </c:pt>
                <c:pt idx="30">
                  <c:v>-0.03</c:v>
                </c:pt>
                <c:pt idx="31">
                  <c:v>-0.03</c:v>
                </c:pt>
                <c:pt idx="32">
                  <c:v>-0.03</c:v>
                </c:pt>
                <c:pt idx="33">
                  <c:v>-0.03</c:v>
                </c:pt>
                <c:pt idx="34">
                  <c:v>-0.03</c:v>
                </c:pt>
                <c:pt idx="35">
                  <c:v>-0.03</c:v>
                </c:pt>
                <c:pt idx="36">
                  <c:v>-0.03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6E-4BCC-894F-3308FD073E34}"/>
            </c:ext>
          </c:extLst>
        </c:ser>
        <c:ser>
          <c:idx val="1"/>
          <c:order val="1"/>
          <c:tx>
            <c:strRef>
              <c:f>RobotMotion!$C$1</c:f>
              <c:strCache>
                <c:ptCount val="1"/>
                <c:pt idx="0">
                  <c:v>左車輪
速度 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RobotMotion!$A$66:$A$102</c:f>
              <c:numCache>
                <c:formatCode>0.00_ </c:formatCode>
                <c:ptCount val="37"/>
                <c:pt idx="0">
                  <c:v>3.2</c:v>
                </c:pt>
                <c:pt idx="1">
                  <c:v>3.25</c:v>
                </c:pt>
                <c:pt idx="2">
                  <c:v>3.3</c:v>
                </c:pt>
                <c:pt idx="3">
                  <c:v>3.35</c:v>
                </c:pt>
                <c:pt idx="4">
                  <c:v>3.4</c:v>
                </c:pt>
                <c:pt idx="5">
                  <c:v>3.45</c:v>
                </c:pt>
                <c:pt idx="6">
                  <c:v>3.5</c:v>
                </c:pt>
                <c:pt idx="7">
                  <c:v>3.55</c:v>
                </c:pt>
                <c:pt idx="8">
                  <c:v>3.6</c:v>
                </c:pt>
                <c:pt idx="9">
                  <c:v>3.65</c:v>
                </c:pt>
                <c:pt idx="10">
                  <c:v>3.7</c:v>
                </c:pt>
                <c:pt idx="11">
                  <c:v>3.75</c:v>
                </c:pt>
                <c:pt idx="12">
                  <c:v>3.8</c:v>
                </c:pt>
                <c:pt idx="13">
                  <c:v>3.85</c:v>
                </c:pt>
                <c:pt idx="14">
                  <c:v>3.9</c:v>
                </c:pt>
                <c:pt idx="15">
                  <c:v>3.95</c:v>
                </c:pt>
                <c:pt idx="16">
                  <c:v>4</c:v>
                </c:pt>
                <c:pt idx="17">
                  <c:v>4.05</c:v>
                </c:pt>
                <c:pt idx="18">
                  <c:v>4.0999999999999996</c:v>
                </c:pt>
                <c:pt idx="19">
                  <c:v>4.1500000000000004</c:v>
                </c:pt>
                <c:pt idx="20">
                  <c:v>4.2</c:v>
                </c:pt>
                <c:pt idx="21">
                  <c:v>4.25</c:v>
                </c:pt>
                <c:pt idx="22">
                  <c:v>4.3</c:v>
                </c:pt>
                <c:pt idx="23">
                  <c:v>4.3499999999999996</c:v>
                </c:pt>
                <c:pt idx="24">
                  <c:v>4.4000000000000004</c:v>
                </c:pt>
                <c:pt idx="25">
                  <c:v>4.45</c:v>
                </c:pt>
                <c:pt idx="26">
                  <c:v>4.5</c:v>
                </c:pt>
                <c:pt idx="27">
                  <c:v>4.55</c:v>
                </c:pt>
                <c:pt idx="28">
                  <c:v>4.5999999999999996</c:v>
                </c:pt>
                <c:pt idx="29">
                  <c:v>4.6500000000000004</c:v>
                </c:pt>
                <c:pt idx="30">
                  <c:v>4.7</c:v>
                </c:pt>
                <c:pt idx="31">
                  <c:v>4.7500000000000098</c:v>
                </c:pt>
                <c:pt idx="32">
                  <c:v>4.8000000000000096</c:v>
                </c:pt>
                <c:pt idx="33">
                  <c:v>4.8499999999999996</c:v>
                </c:pt>
                <c:pt idx="34">
                  <c:v>4.9000000000000101</c:v>
                </c:pt>
                <c:pt idx="35">
                  <c:v>4.9500000000000099</c:v>
                </c:pt>
                <c:pt idx="36">
                  <c:v>5.0000000000000098</c:v>
                </c:pt>
              </c:numCache>
            </c:numRef>
          </c:cat>
          <c:val>
            <c:numRef>
              <c:f>RobotMotion!$C$66:$C$102</c:f>
              <c:numCache>
                <c:formatCode>0.00_ </c:formatCode>
                <c:ptCount val="37"/>
                <c:pt idx="0">
                  <c:v>-0.35</c:v>
                </c:pt>
                <c:pt idx="1">
                  <c:v>-0.35</c:v>
                </c:pt>
                <c:pt idx="2">
                  <c:v>-0.35</c:v>
                </c:pt>
                <c:pt idx="3">
                  <c:v>-0.35</c:v>
                </c:pt>
                <c:pt idx="4">
                  <c:v>-0.35</c:v>
                </c:pt>
                <c:pt idx="5">
                  <c:v>-0.35</c:v>
                </c:pt>
                <c:pt idx="6">
                  <c:v>-0.35</c:v>
                </c:pt>
                <c:pt idx="7">
                  <c:v>-0.35</c:v>
                </c:pt>
                <c:pt idx="8">
                  <c:v>-0.35</c:v>
                </c:pt>
                <c:pt idx="9">
                  <c:v>-0.35</c:v>
                </c:pt>
                <c:pt idx="10">
                  <c:v>-0.35</c:v>
                </c:pt>
                <c:pt idx="11">
                  <c:v>-0.35</c:v>
                </c:pt>
                <c:pt idx="12">
                  <c:v>-0.35</c:v>
                </c:pt>
                <c:pt idx="13">
                  <c:v>-0.35</c:v>
                </c:pt>
                <c:pt idx="14">
                  <c:v>-0.35</c:v>
                </c:pt>
                <c:pt idx="15">
                  <c:v>-0.35</c:v>
                </c:pt>
                <c:pt idx="16">
                  <c:v>-0.35</c:v>
                </c:pt>
                <c:pt idx="17">
                  <c:v>-0.35</c:v>
                </c:pt>
                <c:pt idx="18">
                  <c:v>-0.35</c:v>
                </c:pt>
                <c:pt idx="19">
                  <c:v>-0.35</c:v>
                </c:pt>
                <c:pt idx="20">
                  <c:v>-0.35</c:v>
                </c:pt>
                <c:pt idx="21">
                  <c:v>-0.35</c:v>
                </c:pt>
                <c:pt idx="22">
                  <c:v>-0.35</c:v>
                </c:pt>
                <c:pt idx="23">
                  <c:v>-0.35</c:v>
                </c:pt>
                <c:pt idx="24">
                  <c:v>-0.35</c:v>
                </c:pt>
                <c:pt idx="25">
                  <c:v>-0.35</c:v>
                </c:pt>
                <c:pt idx="26">
                  <c:v>-0.35</c:v>
                </c:pt>
                <c:pt idx="27">
                  <c:v>-0.35</c:v>
                </c:pt>
                <c:pt idx="28">
                  <c:v>-0.35</c:v>
                </c:pt>
                <c:pt idx="29">
                  <c:v>-0.35</c:v>
                </c:pt>
                <c:pt idx="30">
                  <c:v>-0.35</c:v>
                </c:pt>
                <c:pt idx="31">
                  <c:v>-0.35</c:v>
                </c:pt>
                <c:pt idx="32">
                  <c:v>-0.3</c:v>
                </c:pt>
                <c:pt idx="33">
                  <c:v>-0.2</c:v>
                </c:pt>
                <c:pt idx="34">
                  <c:v>0.16</c:v>
                </c:pt>
                <c:pt idx="35">
                  <c:v>-0.13</c:v>
                </c:pt>
                <c:pt idx="36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A6E-4BCC-894F-3308FD073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31487"/>
        <c:axId val="82462575"/>
      </c:lineChart>
      <c:catAx>
        <c:axId val="290131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b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462575"/>
        <c:crosses val="autoZero"/>
        <c:auto val="1"/>
        <c:lblAlgn val="ctr"/>
        <c:lblOffset val="100"/>
        <c:noMultiLvlLbl val="0"/>
      </c:catAx>
      <c:valAx>
        <c:axId val="82462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90131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車輪速度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RobotMotion!$B$1</c:f>
              <c:strCache>
                <c:ptCount val="1"/>
                <c:pt idx="0">
                  <c:v>右車輪
速度 Vr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RobotMotion!$A$103:$A$128</c:f>
              <c:numCache>
                <c:formatCode>0.00_ </c:formatCode>
                <c:ptCount val="26"/>
                <c:pt idx="0">
                  <c:v>5.0500000000000096</c:v>
                </c:pt>
                <c:pt idx="1">
                  <c:v>5.1000000000000103</c:v>
                </c:pt>
                <c:pt idx="2">
                  <c:v>5.1500000000000101</c:v>
                </c:pt>
                <c:pt idx="3">
                  <c:v>5.2000000000000099</c:v>
                </c:pt>
                <c:pt idx="4">
                  <c:v>5.2500000000000098</c:v>
                </c:pt>
                <c:pt idx="5">
                  <c:v>5.3000000000000096</c:v>
                </c:pt>
                <c:pt idx="6">
                  <c:v>5.3500000000000103</c:v>
                </c:pt>
                <c:pt idx="7">
                  <c:v>5.4000000000000101</c:v>
                </c:pt>
                <c:pt idx="8">
                  <c:v>5.4500000000000099</c:v>
                </c:pt>
                <c:pt idx="9">
                  <c:v>5.5000000000000098</c:v>
                </c:pt>
                <c:pt idx="10">
                  <c:v>5.5500000000000096</c:v>
                </c:pt>
                <c:pt idx="11">
                  <c:v>5.6000000000000103</c:v>
                </c:pt>
                <c:pt idx="12">
                  <c:v>5.6500000000000101</c:v>
                </c:pt>
                <c:pt idx="13">
                  <c:v>5.7000000000000099</c:v>
                </c:pt>
                <c:pt idx="14">
                  <c:v>5.7500000000000098</c:v>
                </c:pt>
                <c:pt idx="15">
                  <c:v>5.8000000000000096</c:v>
                </c:pt>
                <c:pt idx="16">
                  <c:v>5.8500000000000103</c:v>
                </c:pt>
                <c:pt idx="17">
                  <c:v>5.9000000000000101</c:v>
                </c:pt>
                <c:pt idx="18">
                  <c:v>5.9500000000000099</c:v>
                </c:pt>
                <c:pt idx="19">
                  <c:v>6.0000000000000098</c:v>
                </c:pt>
                <c:pt idx="20">
                  <c:v>6.0500000000000096</c:v>
                </c:pt>
                <c:pt idx="21">
                  <c:v>6.1000000000000103</c:v>
                </c:pt>
                <c:pt idx="22">
                  <c:v>6.1500000000000101</c:v>
                </c:pt>
                <c:pt idx="23">
                  <c:v>6.2000000000000099</c:v>
                </c:pt>
                <c:pt idx="24">
                  <c:v>6.2500000000000098</c:v>
                </c:pt>
                <c:pt idx="25">
                  <c:v>6.3000000000000096</c:v>
                </c:pt>
              </c:numCache>
            </c:numRef>
          </c:cat>
          <c:val>
            <c:numRef>
              <c:f>RobotMotion!$B$103:$B$128</c:f>
              <c:numCache>
                <c:formatCode>0.00_ </c:formatCode>
                <c:ptCount val="26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F-4AFD-BBA8-3DCF13381490}"/>
            </c:ext>
          </c:extLst>
        </c:ser>
        <c:ser>
          <c:idx val="1"/>
          <c:order val="1"/>
          <c:tx>
            <c:strRef>
              <c:f>RobotMotion!$C$1</c:f>
              <c:strCache>
                <c:ptCount val="1"/>
                <c:pt idx="0">
                  <c:v>左車輪
速度 Vl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RobotMotion!$A$103:$A$128</c:f>
              <c:numCache>
                <c:formatCode>0.00_ </c:formatCode>
                <c:ptCount val="26"/>
                <c:pt idx="0">
                  <c:v>5.0500000000000096</c:v>
                </c:pt>
                <c:pt idx="1">
                  <c:v>5.1000000000000103</c:v>
                </c:pt>
                <c:pt idx="2">
                  <c:v>5.1500000000000101</c:v>
                </c:pt>
                <c:pt idx="3">
                  <c:v>5.2000000000000099</c:v>
                </c:pt>
                <c:pt idx="4">
                  <c:v>5.2500000000000098</c:v>
                </c:pt>
                <c:pt idx="5">
                  <c:v>5.3000000000000096</c:v>
                </c:pt>
                <c:pt idx="6">
                  <c:v>5.3500000000000103</c:v>
                </c:pt>
                <c:pt idx="7">
                  <c:v>5.4000000000000101</c:v>
                </c:pt>
                <c:pt idx="8">
                  <c:v>5.4500000000000099</c:v>
                </c:pt>
                <c:pt idx="9">
                  <c:v>5.5000000000000098</c:v>
                </c:pt>
                <c:pt idx="10">
                  <c:v>5.5500000000000096</c:v>
                </c:pt>
                <c:pt idx="11">
                  <c:v>5.6000000000000103</c:v>
                </c:pt>
                <c:pt idx="12">
                  <c:v>5.6500000000000101</c:v>
                </c:pt>
                <c:pt idx="13">
                  <c:v>5.7000000000000099</c:v>
                </c:pt>
                <c:pt idx="14">
                  <c:v>5.7500000000000098</c:v>
                </c:pt>
                <c:pt idx="15">
                  <c:v>5.8000000000000096</c:v>
                </c:pt>
                <c:pt idx="16">
                  <c:v>5.8500000000000103</c:v>
                </c:pt>
                <c:pt idx="17">
                  <c:v>5.9000000000000101</c:v>
                </c:pt>
                <c:pt idx="18">
                  <c:v>5.9500000000000099</c:v>
                </c:pt>
                <c:pt idx="19">
                  <c:v>6.0000000000000098</c:v>
                </c:pt>
                <c:pt idx="20">
                  <c:v>6.0500000000000096</c:v>
                </c:pt>
                <c:pt idx="21">
                  <c:v>6.1000000000000103</c:v>
                </c:pt>
                <c:pt idx="22">
                  <c:v>6.1500000000000101</c:v>
                </c:pt>
                <c:pt idx="23">
                  <c:v>6.2000000000000099</c:v>
                </c:pt>
                <c:pt idx="24">
                  <c:v>6.2500000000000098</c:v>
                </c:pt>
                <c:pt idx="25">
                  <c:v>6.3000000000000096</c:v>
                </c:pt>
              </c:numCache>
            </c:numRef>
          </c:cat>
          <c:val>
            <c:numRef>
              <c:f>RobotMotion!$C$103:$C$128</c:f>
              <c:numCache>
                <c:formatCode>0.00_ </c:formatCode>
                <c:ptCount val="26"/>
                <c:pt idx="0">
                  <c:v>-0.2</c:v>
                </c:pt>
                <c:pt idx="1">
                  <c:v>-0.2</c:v>
                </c:pt>
                <c:pt idx="2">
                  <c:v>-0.2</c:v>
                </c:pt>
                <c:pt idx="3">
                  <c:v>-0.2</c:v>
                </c:pt>
                <c:pt idx="4">
                  <c:v>-0.2</c:v>
                </c:pt>
                <c:pt idx="5">
                  <c:v>-0.2</c:v>
                </c:pt>
                <c:pt idx="6">
                  <c:v>-0.2</c:v>
                </c:pt>
                <c:pt idx="7">
                  <c:v>-0.2</c:v>
                </c:pt>
                <c:pt idx="8">
                  <c:v>-0.2</c:v>
                </c:pt>
                <c:pt idx="9">
                  <c:v>-0.2</c:v>
                </c:pt>
                <c:pt idx="10">
                  <c:v>-0.2</c:v>
                </c:pt>
                <c:pt idx="11">
                  <c:v>-0.2</c:v>
                </c:pt>
                <c:pt idx="12">
                  <c:v>-0.2</c:v>
                </c:pt>
                <c:pt idx="13">
                  <c:v>-0.2</c:v>
                </c:pt>
                <c:pt idx="14">
                  <c:v>-0.2</c:v>
                </c:pt>
                <c:pt idx="15">
                  <c:v>-0.2</c:v>
                </c:pt>
                <c:pt idx="16">
                  <c:v>-0.2</c:v>
                </c:pt>
                <c:pt idx="17">
                  <c:v>-0.2</c:v>
                </c:pt>
                <c:pt idx="18">
                  <c:v>-0.2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-0.2</c:v>
                </c:pt>
                <c:pt idx="24">
                  <c:v>-0.2</c:v>
                </c:pt>
                <c:pt idx="25">
                  <c:v>-0.2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3F-4AFD-BBA8-3DCF133814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874527"/>
        <c:axId val="82466735"/>
      </c:lineChart>
      <c:catAx>
        <c:axId val="7887452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時間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466735"/>
        <c:crosses val="autoZero"/>
        <c:auto val="1"/>
        <c:lblAlgn val="ctr"/>
        <c:lblOffset val="100"/>
        <c:noMultiLvlLbl val="0"/>
      </c:catAx>
      <c:valAx>
        <c:axId val="82466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速度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874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398859</xdr:colOff>
      <xdr:row>3</xdr:row>
      <xdr:rowOff>228122</xdr:rowOff>
    </xdr:from>
    <xdr:to>
      <xdr:col>16</xdr:col>
      <xdr:colOff>1295399</xdr:colOff>
      <xdr:row>23</xdr:row>
      <xdr:rowOff>152400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C50B4ED3-8EB4-4671-A540-23C9BE8685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130969</xdr:colOff>
      <xdr:row>17</xdr:row>
      <xdr:rowOff>47625</xdr:rowOff>
    </xdr:from>
    <xdr:to>
      <xdr:col>16</xdr:col>
      <xdr:colOff>604899</xdr:colOff>
      <xdr:row>21</xdr:row>
      <xdr:rowOff>11906</xdr:rowOff>
    </xdr:to>
    <xdr:pic macro="[0]!MobileRbtAnimation">
      <xdr:nvPicPr>
        <xdr:cNvPr id="4" name="図 3">
          <a:extLst>
            <a:ext uri="{FF2B5EF4-FFF2-40B4-BE49-F238E27FC236}">
              <a16:creationId xmlns:a16="http://schemas.microsoft.com/office/drawing/2014/main" id="{4DBB8C7D-9CA3-4B2B-B96E-C2BBBDDBA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7625" y="4321969"/>
          <a:ext cx="473930" cy="916781"/>
        </a:xfrm>
        <a:prstGeom prst="rect">
          <a:avLst/>
        </a:prstGeom>
      </xdr:spPr>
    </xdr:pic>
    <xdr:clientData/>
  </xdr:twoCellAnchor>
  <xdr:twoCellAnchor>
    <xdr:from>
      <xdr:col>11</xdr:col>
      <xdr:colOff>481013</xdr:colOff>
      <xdr:row>24</xdr:row>
      <xdr:rowOff>214313</xdr:rowOff>
    </xdr:from>
    <xdr:to>
      <xdr:col>16</xdr:col>
      <xdr:colOff>1271588</xdr:colOff>
      <xdr:row>36</xdr:row>
      <xdr:rowOff>214313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3D2515CE-7299-4651-B319-F2FBAB8A35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367552</xdr:colOff>
      <xdr:row>39</xdr:row>
      <xdr:rowOff>94129</xdr:rowOff>
    </xdr:from>
    <xdr:to>
      <xdr:col>16</xdr:col>
      <xdr:colOff>1138517</xdr:colOff>
      <xdr:row>51</xdr:row>
      <xdr:rowOff>40341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7B9D0834-B830-4164-A792-0BDC35D909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430304</xdr:colOff>
      <xdr:row>52</xdr:row>
      <xdr:rowOff>80682</xdr:rowOff>
    </xdr:from>
    <xdr:to>
      <xdr:col>16</xdr:col>
      <xdr:colOff>1201269</xdr:colOff>
      <xdr:row>66</xdr:row>
      <xdr:rowOff>67235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CD47E5D9-781E-461D-A9BE-838A81DCED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394447</xdr:colOff>
      <xdr:row>68</xdr:row>
      <xdr:rowOff>62753</xdr:rowOff>
    </xdr:from>
    <xdr:to>
      <xdr:col>16</xdr:col>
      <xdr:colOff>1165412</xdr:colOff>
      <xdr:row>80</xdr:row>
      <xdr:rowOff>8964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6C43B81F-A062-40A4-B20A-3857417340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EF400D-B16C-4A34-989C-31CBE7A0F769}">
  <sheetPr codeName="Sheet1"/>
  <dimension ref="A1:W150"/>
  <sheetViews>
    <sheetView tabSelected="1" zoomScale="85" zoomScaleNormal="85" workbookViewId="0">
      <pane ySplit="1" topLeftCell="A53" activePane="bottomLeft" state="frozen"/>
      <selection pane="bottomLeft" activeCell="C100" sqref="C100"/>
    </sheetView>
  </sheetViews>
  <sheetFormatPr defaultRowHeight="18" x14ac:dyDescent="0.45"/>
  <cols>
    <col min="1" max="1" width="7.59765625" style="1" customWidth="1"/>
    <col min="2" max="4" width="9" style="1"/>
    <col min="5" max="5" width="9" style="4"/>
    <col min="6" max="6" width="9.3984375" style="4" bestFit="1" customWidth="1"/>
    <col min="7" max="7" width="9" style="3"/>
    <col min="8" max="9" width="9" style="2"/>
    <col min="10" max="11" width="9" style="4"/>
    <col min="14" max="14" width="11.5" customWidth="1"/>
    <col min="16" max="16" width="11.8984375" customWidth="1"/>
    <col min="17" max="17" width="17.09765625" customWidth="1"/>
  </cols>
  <sheetData>
    <row r="1" spans="1:23" ht="36.75" customHeight="1" x14ac:dyDescent="0.45">
      <c r="A1" s="18" t="s">
        <v>8</v>
      </c>
      <c r="B1" s="19" t="s">
        <v>9</v>
      </c>
      <c r="C1" s="19" t="s">
        <v>10</v>
      </c>
      <c r="D1" s="19" t="s">
        <v>11</v>
      </c>
      <c r="E1" s="20" t="s">
        <v>12</v>
      </c>
      <c r="F1" s="20" t="s">
        <v>13</v>
      </c>
      <c r="G1" s="21" t="s">
        <v>14</v>
      </c>
      <c r="H1" s="22" t="s">
        <v>0</v>
      </c>
      <c r="I1" s="22" t="s">
        <v>1</v>
      </c>
      <c r="J1" s="20" t="s">
        <v>15</v>
      </c>
      <c r="K1" s="23" t="s">
        <v>16</v>
      </c>
      <c r="L1" s="24" t="s">
        <v>17</v>
      </c>
      <c r="M1" s="25" t="s">
        <v>20</v>
      </c>
      <c r="N1" s="26" t="s">
        <v>18</v>
      </c>
      <c r="O1" s="27"/>
      <c r="P1" s="28" t="s">
        <v>19</v>
      </c>
      <c r="S1" s="16" t="s">
        <v>4</v>
      </c>
      <c r="T1" s="17"/>
      <c r="V1" s="16" t="s">
        <v>21</v>
      </c>
    </row>
    <row r="2" spans="1:23" x14ac:dyDescent="0.45">
      <c r="A2" s="9">
        <v>0</v>
      </c>
      <c r="B2" s="10">
        <v>0</v>
      </c>
      <c r="C2" s="10">
        <v>0</v>
      </c>
      <c r="D2" s="10">
        <v>0</v>
      </c>
      <c r="E2" s="11">
        <v>0</v>
      </c>
      <c r="F2" s="11">
        <v>0.93500000000000005</v>
      </c>
      <c r="G2" s="12">
        <v>0</v>
      </c>
      <c r="H2" s="13">
        <f>COS(F2)</f>
        <v>0.5938184263740639</v>
      </c>
      <c r="I2" s="13">
        <f>SIN(F2)</f>
        <v>0.80459907811196907</v>
      </c>
      <c r="J2" s="11">
        <v>0</v>
      </c>
      <c r="K2" s="14">
        <v>0</v>
      </c>
      <c r="L2" s="8" t="s">
        <v>7</v>
      </c>
      <c r="M2" s="15">
        <f>COUNT(A1:A10009)+1</f>
        <v>150</v>
      </c>
      <c r="N2" s="29" t="s">
        <v>5</v>
      </c>
      <c r="O2" s="30"/>
      <c r="P2" s="29" t="s">
        <v>6</v>
      </c>
      <c r="S2" s="5" t="s">
        <v>2</v>
      </c>
      <c r="T2" s="5" t="s">
        <v>3</v>
      </c>
      <c r="U2" s="5" t="s">
        <v>2</v>
      </c>
      <c r="V2" s="5" t="s">
        <v>3</v>
      </c>
    </row>
    <row r="3" spans="1:23" x14ac:dyDescent="0.45">
      <c r="A3" s="1">
        <v>0.05</v>
      </c>
      <c r="B3" s="35">
        <v>0.2</v>
      </c>
      <c r="C3" s="35">
        <v>0.2</v>
      </c>
      <c r="D3" s="1">
        <f>(B3+C3)/2</f>
        <v>0.2</v>
      </c>
      <c r="E3" s="4">
        <f>(B3-C3)/P$3</f>
        <v>0</v>
      </c>
      <c r="F3" s="4">
        <f>F2+E3*N$3</f>
        <v>0.93500000000000005</v>
      </c>
      <c r="G3" s="3">
        <f>F3*180/3.14159</f>
        <v>53.571599094725926</v>
      </c>
      <c r="H3" s="2">
        <f>COS((F3+F2)/2)</f>
        <v>0.5938184263740639</v>
      </c>
      <c r="I3" s="2">
        <f>SIN((F3+F2)/2)</f>
        <v>0.80459907811196907</v>
      </c>
      <c r="J3" s="4">
        <f>J2+D3*N$3*H3</f>
        <v>5.9381842637406404E-3</v>
      </c>
      <c r="K3" s="4">
        <f>K2+D3*N$3*I3</f>
        <v>8.0459907811196926E-3</v>
      </c>
      <c r="N3" s="29">
        <v>0.05</v>
      </c>
      <c r="O3" s="30"/>
      <c r="P3" s="29">
        <v>0.14399999999999999</v>
      </c>
      <c r="S3" s="6">
        <v>-0.04</v>
      </c>
      <c r="T3" s="6">
        <v>0.05</v>
      </c>
      <c r="V3" s="31">
        <v>0</v>
      </c>
      <c r="W3" s="33">
        <v>0</v>
      </c>
    </row>
    <row r="4" spans="1:23" x14ac:dyDescent="0.45">
      <c r="A4" s="1">
        <v>0.1</v>
      </c>
      <c r="B4" s="35">
        <v>0.2</v>
      </c>
      <c r="C4" s="35">
        <v>0.2</v>
      </c>
      <c r="D4" s="1">
        <f t="shared" ref="D4:D22" si="0">(B4+C4)/2</f>
        <v>0.2</v>
      </c>
      <c r="E4" s="4">
        <f t="shared" ref="E4:E22" si="1">(B4-C4)/P$3</f>
        <v>0</v>
      </c>
      <c r="F4" s="4">
        <f t="shared" ref="F4:F22" si="2">F3+E4*N$3</f>
        <v>0.93500000000000005</v>
      </c>
      <c r="G4" s="3">
        <f t="shared" ref="G4:G67" si="3">F4*180/3.14159</f>
        <v>53.571599094725926</v>
      </c>
      <c r="H4" s="2">
        <f t="shared" ref="H4:H22" si="4">COS((F4+F3)/2)</f>
        <v>0.5938184263740639</v>
      </c>
      <c r="I4" s="2">
        <f t="shared" ref="I4:I22" si="5">SIN((F4+F3)/2)</f>
        <v>0.80459907811196907</v>
      </c>
      <c r="J4" s="4">
        <f t="shared" ref="J4:J22" si="6">J3+D4*N$3*H4</f>
        <v>1.1876368527481281E-2</v>
      </c>
      <c r="K4" s="4">
        <f t="shared" ref="K4:K22" si="7">K3+D4*N$3*I4</f>
        <v>1.6091981562239385E-2</v>
      </c>
      <c r="S4" s="6">
        <v>0.09</v>
      </c>
      <c r="T4" s="6">
        <v>0.05</v>
      </c>
      <c r="V4" s="31">
        <v>0</v>
      </c>
      <c r="W4" s="33">
        <v>0</v>
      </c>
    </row>
    <row r="5" spans="1:23" x14ac:dyDescent="0.45">
      <c r="A5" s="1">
        <v>0.15</v>
      </c>
      <c r="B5" s="35">
        <v>0.2</v>
      </c>
      <c r="C5" s="35">
        <v>0.2</v>
      </c>
      <c r="D5" s="1">
        <f t="shared" si="0"/>
        <v>0.2</v>
      </c>
      <c r="E5" s="4">
        <f t="shared" si="1"/>
        <v>0</v>
      </c>
      <c r="F5" s="4">
        <f t="shared" si="2"/>
        <v>0.93500000000000005</v>
      </c>
      <c r="G5" s="3">
        <f t="shared" si="3"/>
        <v>53.571599094725926</v>
      </c>
      <c r="H5" s="2">
        <f t="shared" si="4"/>
        <v>0.5938184263740639</v>
      </c>
      <c r="I5" s="2">
        <f t="shared" si="5"/>
        <v>0.80459907811196907</v>
      </c>
      <c r="J5" s="4">
        <f t="shared" si="6"/>
        <v>1.7814552791221922E-2</v>
      </c>
      <c r="K5" s="4">
        <f t="shared" si="7"/>
        <v>2.4137972343359078E-2</v>
      </c>
      <c r="S5" s="6">
        <v>0.09</v>
      </c>
      <c r="T5" s="6">
        <v>-0.05</v>
      </c>
      <c r="V5" s="31">
        <v>0</v>
      </c>
      <c r="W5" s="33">
        <v>0</v>
      </c>
    </row>
    <row r="6" spans="1:23" x14ac:dyDescent="0.45">
      <c r="A6" s="1">
        <v>0.2</v>
      </c>
      <c r="B6" s="35">
        <v>0.2</v>
      </c>
      <c r="C6" s="35">
        <v>0.2</v>
      </c>
      <c r="D6" s="1">
        <f t="shared" si="0"/>
        <v>0.2</v>
      </c>
      <c r="E6" s="4">
        <f t="shared" si="1"/>
        <v>0</v>
      </c>
      <c r="F6" s="4">
        <f t="shared" si="2"/>
        <v>0.93500000000000005</v>
      </c>
      <c r="G6" s="3">
        <f t="shared" si="3"/>
        <v>53.571599094725926</v>
      </c>
      <c r="H6" s="2">
        <f t="shared" si="4"/>
        <v>0.5938184263740639</v>
      </c>
      <c r="I6" s="2">
        <f t="shared" si="5"/>
        <v>0.80459907811196907</v>
      </c>
      <c r="J6" s="4">
        <f t="shared" si="6"/>
        <v>2.3752737054962562E-2</v>
      </c>
      <c r="K6" s="4">
        <f t="shared" si="7"/>
        <v>3.2183963124478771E-2</v>
      </c>
      <c r="S6" s="6">
        <v>-0.04</v>
      </c>
      <c r="T6" s="6">
        <v>-0.05</v>
      </c>
      <c r="V6" s="31">
        <v>0</v>
      </c>
      <c r="W6" s="33">
        <v>0</v>
      </c>
    </row>
    <row r="7" spans="1:23" x14ac:dyDescent="0.45">
      <c r="A7" s="1">
        <v>0.25</v>
      </c>
      <c r="B7" s="35">
        <v>0.2</v>
      </c>
      <c r="C7" s="35">
        <v>0.2</v>
      </c>
      <c r="D7" s="1">
        <f t="shared" si="0"/>
        <v>0.2</v>
      </c>
      <c r="E7" s="4">
        <f t="shared" si="1"/>
        <v>0</v>
      </c>
      <c r="F7" s="4">
        <f t="shared" si="2"/>
        <v>0.93500000000000005</v>
      </c>
      <c r="G7" s="3">
        <f t="shared" si="3"/>
        <v>53.571599094725926</v>
      </c>
      <c r="H7" s="2">
        <f t="shared" si="4"/>
        <v>0.5938184263740639</v>
      </c>
      <c r="I7" s="2">
        <f t="shared" si="5"/>
        <v>0.80459907811196907</v>
      </c>
      <c r="J7" s="4">
        <f t="shared" si="6"/>
        <v>2.9690921318703201E-2</v>
      </c>
      <c r="K7" s="4">
        <f t="shared" si="7"/>
        <v>4.0229953905598463E-2</v>
      </c>
      <c r="S7" s="6">
        <v>-0.04</v>
      </c>
      <c r="T7" s="6">
        <v>0.05</v>
      </c>
      <c r="V7" s="31">
        <v>0</v>
      </c>
      <c r="W7" s="33">
        <v>0</v>
      </c>
    </row>
    <row r="8" spans="1:23" x14ac:dyDescent="0.45">
      <c r="A8" s="1">
        <v>0.3</v>
      </c>
      <c r="B8" s="35">
        <v>0.2</v>
      </c>
      <c r="C8" s="35">
        <v>0.2</v>
      </c>
      <c r="D8" s="1">
        <f t="shared" si="0"/>
        <v>0.2</v>
      </c>
      <c r="E8" s="4">
        <f t="shared" si="1"/>
        <v>0</v>
      </c>
      <c r="F8" s="4">
        <f t="shared" si="2"/>
        <v>0.93500000000000005</v>
      </c>
      <c r="G8" s="3">
        <f t="shared" si="3"/>
        <v>53.571599094725926</v>
      </c>
      <c r="H8" s="2">
        <f t="shared" si="4"/>
        <v>0.5938184263740639</v>
      </c>
      <c r="I8" s="2">
        <f t="shared" si="5"/>
        <v>0.80459907811196907</v>
      </c>
      <c r="J8" s="4">
        <f t="shared" si="6"/>
        <v>3.5629105582443844E-2</v>
      </c>
      <c r="K8" s="4">
        <f t="shared" si="7"/>
        <v>4.8275944686718156E-2</v>
      </c>
      <c r="S8" s="7"/>
      <c r="T8" s="7"/>
      <c r="V8" s="32"/>
      <c r="W8" s="34"/>
    </row>
    <row r="9" spans="1:23" x14ac:dyDescent="0.45">
      <c r="A9" s="1">
        <v>0.35</v>
      </c>
      <c r="B9" s="35">
        <v>0.2</v>
      </c>
      <c r="C9" s="35">
        <v>0.2</v>
      </c>
      <c r="D9" s="1">
        <f t="shared" si="0"/>
        <v>0.2</v>
      </c>
      <c r="E9" s="4">
        <f t="shared" si="1"/>
        <v>0</v>
      </c>
      <c r="F9" s="4">
        <f t="shared" si="2"/>
        <v>0.93500000000000005</v>
      </c>
      <c r="G9" s="3">
        <f t="shared" si="3"/>
        <v>53.571599094725926</v>
      </c>
      <c r="H9" s="2">
        <f t="shared" si="4"/>
        <v>0.5938184263740639</v>
      </c>
      <c r="I9" s="2">
        <f t="shared" si="5"/>
        <v>0.80459907811196907</v>
      </c>
      <c r="J9" s="4">
        <f t="shared" si="6"/>
        <v>4.1567289846184484E-2</v>
      </c>
      <c r="K9" s="4">
        <f t="shared" si="7"/>
        <v>5.6321935467837848E-2</v>
      </c>
      <c r="S9" s="6">
        <v>-0.04</v>
      </c>
      <c r="T9" s="6">
        <v>7.0000000000000007E-2</v>
      </c>
      <c r="V9" s="31">
        <v>0</v>
      </c>
      <c r="W9" s="33">
        <v>0</v>
      </c>
    </row>
    <row r="10" spans="1:23" x14ac:dyDescent="0.45">
      <c r="A10" s="1">
        <v>0.4</v>
      </c>
      <c r="B10" s="35">
        <v>0.2</v>
      </c>
      <c r="C10" s="35">
        <v>0.2</v>
      </c>
      <c r="D10" s="1">
        <f t="shared" si="0"/>
        <v>0.2</v>
      </c>
      <c r="E10" s="4">
        <f t="shared" si="1"/>
        <v>0</v>
      </c>
      <c r="F10" s="4">
        <f t="shared" si="2"/>
        <v>0.93500000000000005</v>
      </c>
      <c r="G10" s="3">
        <f t="shared" si="3"/>
        <v>53.571599094725926</v>
      </c>
      <c r="H10" s="2">
        <f t="shared" si="4"/>
        <v>0.5938184263740639</v>
      </c>
      <c r="I10" s="2">
        <f t="shared" si="5"/>
        <v>0.80459907811196907</v>
      </c>
      <c r="J10" s="4">
        <f t="shared" si="6"/>
        <v>4.7505474109925123E-2</v>
      </c>
      <c r="K10" s="4">
        <f t="shared" si="7"/>
        <v>6.4367926248957541E-2</v>
      </c>
      <c r="S10" s="6">
        <v>0.04</v>
      </c>
      <c r="T10" s="6">
        <v>7.0000000000000007E-2</v>
      </c>
      <c r="V10" s="31">
        <v>0</v>
      </c>
      <c r="W10" s="33">
        <v>0</v>
      </c>
    </row>
    <row r="11" spans="1:23" x14ac:dyDescent="0.45">
      <c r="A11" s="1">
        <v>0.45</v>
      </c>
      <c r="B11" s="35">
        <v>0.2</v>
      </c>
      <c r="C11" s="35">
        <v>0.2</v>
      </c>
      <c r="D11" s="1">
        <f t="shared" si="0"/>
        <v>0.2</v>
      </c>
      <c r="E11" s="4">
        <f t="shared" si="1"/>
        <v>0</v>
      </c>
      <c r="F11" s="4">
        <f t="shared" si="2"/>
        <v>0.93500000000000005</v>
      </c>
      <c r="G11" s="3">
        <f t="shared" si="3"/>
        <v>53.571599094725926</v>
      </c>
      <c r="H11" s="2">
        <f t="shared" si="4"/>
        <v>0.5938184263740639</v>
      </c>
      <c r="I11" s="2">
        <f t="shared" si="5"/>
        <v>0.80459907811196907</v>
      </c>
      <c r="J11" s="4">
        <f t="shared" si="6"/>
        <v>5.3443658373665763E-2</v>
      </c>
      <c r="K11" s="4">
        <f t="shared" si="7"/>
        <v>7.2413917030077241E-2</v>
      </c>
      <c r="S11" s="7"/>
      <c r="T11" s="7"/>
      <c r="V11" s="32"/>
      <c r="W11" s="34"/>
    </row>
    <row r="12" spans="1:23" x14ac:dyDescent="0.45">
      <c r="A12" s="1">
        <v>0.5</v>
      </c>
      <c r="B12" s="35">
        <v>0.2</v>
      </c>
      <c r="C12" s="35">
        <v>0.2</v>
      </c>
      <c r="D12" s="1">
        <f t="shared" si="0"/>
        <v>0.2</v>
      </c>
      <c r="E12" s="4">
        <f t="shared" si="1"/>
        <v>0</v>
      </c>
      <c r="F12" s="4">
        <f t="shared" si="2"/>
        <v>0.93500000000000005</v>
      </c>
      <c r="G12" s="3">
        <f t="shared" si="3"/>
        <v>53.571599094725926</v>
      </c>
      <c r="H12" s="2">
        <f t="shared" si="4"/>
        <v>0.5938184263740639</v>
      </c>
      <c r="I12" s="2">
        <f t="shared" si="5"/>
        <v>0.80459907811196907</v>
      </c>
      <c r="J12" s="4">
        <f t="shared" si="6"/>
        <v>5.9381842637406403E-2</v>
      </c>
      <c r="K12" s="4">
        <f t="shared" si="7"/>
        <v>8.045990781119694E-2</v>
      </c>
      <c r="S12" s="6">
        <v>-0.04</v>
      </c>
      <c r="T12" s="6">
        <v>-7.0000000000000007E-2</v>
      </c>
      <c r="V12" s="31">
        <v>0</v>
      </c>
      <c r="W12" s="33">
        <v>0</v>
      </c>
    </row>
    <row r="13" spans="1:23" x14ac:dyDescent="0.45">
      <c r="A13" s="1">
        <v>0.55000000000000004</v>
      </c>
      <c r="B13" s="35">
        <v>0.2</v>
      </c>
      <c r="C13" s="35">
        <v>0.2</v>
      </c>
      <c r="D13" s="1">
        <f t="shared" si="0"/>
        <v>0.2</v>
      </c>
      <c r="E13" s="4">
        <f t="shared" si="1"/>
        <v>0</v>
      </c>
      <c r="F13" s="4">
        <f t="shared" si="2"/>
        <v>0.93500000000000005</v>
      </c>
      <c r="G13" s="3">
        <f t="shared" si="3"/>
        <v>53.571599094725926</v>
      </c>
      <c r="H13" s="2">
        <f t="shared" si="4"/>
        <v>0.5938184263740639</v>
      </c>
      <c r="I13" s="2">
        <f t="shared" si="5"/>
        <v>0.80459907811196907</v>
      </c>
      <c r="J13" s="4">
        <f t="shared" si="6"/>
        <v>6.5320026901147049E-2</v>
      </c>
      <c r="K13" s="4">
        <f t="shared" si="7"/>
        <v>8.850589859231664E-2</v>
      </c>
      <c r="S13" s="6">
        <v>0.04</v>
      </c>
      <c r="T13" s="6">
        <v>-7.0000000000000007E-2</v>
      </c>
      <c r="V13" s="31">
        <v>0</v>
      </c>
      <c r="W13" s="33">
        <v>0</v>
      </c>
    </row>
    <row r="14" spans="1:23" x14ac:dyDescent="0.45">
      <c r="A14" s="1">
        <v>0.6</v>
      </c>
      <c r="B14" s="35">
        <v>0.2</v>
      </c>
      <c r="C14" s="35">
        <v>0.2</v>
      </c>
      <c r="D14" s="1">
        <f t="shared" si="0"/>
        <v>0.2</v>
      </c>
      <c r="E14" s="4">
        <f t="shared" si="1"/>
        <v>0</v>
      </c>
      <c r="F14" s="4">
        <f t="shared" si="2"/>
        <v>0.93500000000000005</v>
      </c>
      <c r="G14" s="3">
        <f t="shared" si="3"/>
        <v>53.571599094725926</v>
      </c>
      <c r="H14" s="2">
        <f t="shared" si="4"/>
        <v>0.5938184263740639</v>
      </c>
      <c r="I14" s="2">
        <f t="shared" si="5"/>
        <v>0.80459907811196907</v>
      </c>
      <c r="J14" s="4">
        <f t="shared" si="6"/>
        <v>7.1258211164887689E-2</v>
      </c>
      <c r="K14" s="4">
        <f t="shared" si="7"/>
        <v>9.6551889373436339E-2</v>
      </c>
    </row>
    <row r="15" spans="1:23" x14ac:dyDescent="0.45">
      <c r="A15" s="1">
        <v>0.65</v>
      </c>
      <c r="B15" s="35">
        <v>0.2</v>
      </c>
      <c r="C15" s="35">
        <v>0.2</v>
      </c>
      <c r="D15" s="1">
        <f t="shared" si="0"/>
        <v>0.2</v>
      </c>
      <c r="E15" s="4">
        <f t="shared" si="1"/>
        <v>0</v>
      </c>
      <c r="F15" s="4">
        <f t="shared" si="2"/>
        <v>0.93500000000000005</v>
      </c>
      <c r="G15" s="3">
        <f t="shared" si="3"/>
        <v>53.571599094725926</v>
      </c>
      <c r="H15" s="2">
        <f t="shared" si="4"/>
        <v>0.5938184263740639</v>
      </c>
      <c r="I15" s="2">
        <f t="shared" si="5"/>
        <v>0.80459907811196907</v>
      </c>
      <c r="J15" s="4">
        <f t="shared" si="6"/>
        <v>7.7196395428628328E-2</v>
      </c>
      <c r="K15" s="4">
        <f t="shared" si="7"/>
        <v>0.10459788015455604</v>
      </c>
    </row>
    <row r="16" spans="1:23" x14ac:dyDescent="0.45">
      <c r="A16" s="1">
        <v>0.7</v>
      </c>
      <c r="B16" s="35">
        <v>0.2</v>
      </c>
      <c r="C16" s="35">
        <v>0.2</v>
      </c>
      <c r="D16" s="1">
        <f t="shared" si="0"/>
        <v>0.2</v>
      </c>
      <c r="E16" s="4">
        <f t="shared" si="1"/>
        <v>0</v>
      </c>
      <c r="F16" s="4">
        <f t="shared" si="2"/>
        <v>0.93500000000000005</v>
      </c>
      <c r="G16" s="3">
        <f t="shared" si="3"/>
        <v>53.571599094725926</v>
      </c>
      <c r="H16" s="2">
        <f t="shared" si="4"/>
        <v>0.5938184263740639</v>
      </c>
      <c r="I16" s="2">
        <f t="shared" si="5"/>
        <v>0.80459907811196907</v>
      </c>
      <c r="J16" s="4">
        <f t="shared" si="6"/>
        <v>8.3134579692368968E-2</v>
      </c>
      <c r="K16" s="4">
        <f t="shared" si="7"/>
        <v>0.11264387093567574</v>
      </c>
    </row>
    <row r="17" spans="1:11" x14ac:dyDescent="0.45">
      <c r="A17" s="1">
        <v>0.75</v>
      </c>
      <c r="B17" s="35">
        <v>0.2</v>
      </c>
      <c r="C17" s="35">
        <v>0.2</v>
      </c>
      <c r="D17" s="1">
        <f t="shared" si="0"/>
        <v>0.2</v>
      </c>
      <c r="E17" s="4">
        <f t="shared" si="1"/>
        <v>0</v>
      </c>
      <c r="F17" s="4">
        <f t="shared" si="2"/>
        <v>0.93500000000000005</v>
      </c>
      <c r="G17" s="3">
        <f t="shared" si="3"/>
        <v>53.571599094725926</v>
      </c>
      <c r="H17" s="2">
        <f t="shared" si="4"/>
        <v>0.5938184263740639</v>
      </c>
      <c r="I17" s="2">
        <f t="shared" si="5"/>
        <v>0.80459907811196907</v>
      </c>
      <c r="J17" s="4">
        <f t="shared" si="6"/>
        <v>8.9072763956109607E-2</v>
      </c>
      <c r="K17" s="4">
        <f t="shared" si="7"/>
        <v>0.12068986171679544</v>
      </c>
    </row>
    <row r="18" spans="1:11" x14ac:dyDescent="0.45">
      <c r="A18" s="1">
        <v>0.8</v>
      </c>
      <c r="B18" s="35">
        <v>0.2</v>
      </c>
      <c r="C18" s="35">
        <v>0.2</v>
      </c>
      <c r="D18" s="1">
        <f t="shared" si="0"/>
        <v>0.2</v>
      </c>
      <c r="E18" s="4">
        <f t="shared" si="1"/>
        <v>0</v>
      </c>
      <c r="F18" s="4">
        <f t="shared" si="2"/>
        <v>0.93500000000000005</v>
      </c>
      <c r="G18" s="3">
        <f t="shared" si="3"/>
        <v>53.571599094725926</v>
      </c>
      <c r="H18" s="2">
        <f t="shared" si="4"/>
        <v>0.5938184263740639</v>
      </c>
      <c r="I18" s="2">
        <f t="shared" si="5"/>
        <v>0.80459907811196907</v>
      </c>
      <c r="J18" s="4">
        <f t="shared" si="6"/>
        <v>9.5010948219850247E-2</v>
      </c>
      <c r="K18" s="4">
        <f t="shared" si="7"/>
        <v>0.12873585249791514</v>
      </c>
    </row>
    <row r="19" spans="1:11" x14ac:dyDescent="0.45">
      <c r="A19" s="1">
        <v>0.85</v>
      </c>
      <c r="B19" s="35">
        <v>0.2</v>
      </c>
      <c r="C19" s="35">
        <v>0.2</v>
      </c>
      <c r="D19" s="1">
        <f t="shared" si="0"/>
        <v>0.2</v>
      </c>
      <c r="E19" s="4">
        <f t="shared" si="1"/>
        <v>0</v>
      </c>
      <c r="F19" s="4">
        <f t="shared" si="2"/>
        <v>0.93500000000000005</v>
      </c>
      <c r="G19" s="3">
        <f t="shared" si="3"/>
        <v>53.571599094725926</v>
      </c>
      <c r="H19" s="2">
        <f t="shared" si="4"/>
        <v>0.5938184263740639</v>
      </c>
      <c r="I19" s="2">
        <f t="shared" si="5"/>
        <v>0.80459907811196907</v>
      </c>
      <c r="J19" s="4">
        <f t="shared" si="6"/>
        <v>0.10094913248359089</v>
      </c>
      <c r="K19" s="4">
        <f t="shared" si="7"/>
        <v>0.13678184327903484</v>
      </c>
    </row>
    <row r="20" spans="1:11" x14ac:dyDescent="0.45">
      <c r="A20" s="1">
        <v>0.9</v>
      </c>
      <c r="B20" s="35">
        <v>0.2</v>
      </c>
      <c r="C20" s="35">
        <v>0.2</v>
      </c>
      <c r="D20" s="1">
        <f t="shared" si="0"/>
        <v>0.2</v>
      </c>
      <c r="E20" s="4">
        <f t="shared" si="1"/>
        <v>0</v>
      </c>
      <c r="F20" s="4">
        <f t="shared" si="2"/>
        <v>0.93500000000000005</v>
      </c>
      <c r="G20" s="3">
        <f t="shared" si="3"/>
        <v>53.571599094725926</v>
      </c>
      <c r="H20" s="2">
        <f t="shared" si="4"/>
        <v>0.5938184263740639</v>
      </c>
      <c r="I20" s="2">
        <f t="shared" si="5"/>
        <v>0.80459907811196907</v>
      </c>
      <c r="J20" s="4">
        <f t="shared" si="6"/>
        <v>0.10688731674733153</v>
      </c>
      <c r="K20" s="4">
        <f t="shared" si="7"/>
        <v>0.14482783406015454</v>
      </c>
    </row>
    <row r="21" spans="1:11" x14ac:dyDescent="0.45">
      <c r="A21" s="1">
        <v>0.95</v>
      </c>
      <c r="B21" s="35">
        <v>0.2</v>
      </c>
      <c r="C21" s="35">
        <v>0.2</v>
      </c>
      <c r="D21" s="1">
        <f t="shared" si="0"/>
        <v>0.2</v>
      </c>
      <c r="E21" s="4">
        <f t="shared" si="1"/>
        <v>0</v>
      </c>
      <c r="F21" s="4">
        <f t="shared" si="2"/>
        <v>0.93500000000000005</v>
      </c>
      <c r="G21" s="3">
        <f t="shared" si="3"/>
        <v>53.571599094725926</v>
      </c>
      <c r="H21" s="2">
        <f t="shared" si="4"/>
        <v>0.5938184263740639</v>
      </c>
      <c r="I21" s="2">
        <f t="shared" si="5"/>
        <v>0.80459907811196907</v>
      </c>
      <c r="J21" s="4">
        <f t="shared" si="6"/>
        <v>0.11282550101107217</v>
      </c>
      <c r="K21" s="4">
        <f t="shared" si="7"/>
        <v>0.15287382484127424</v>
      </c>
    </row>
    <row r="22" spans="1:11" x14ac:dyDescent="0.45">
      <c r="A22" s="1">
        <v>1</v>
      </c>
      <c r="B22" s="35">
        <v>0.2</v>
      </c>
      <c r="C22" s="35">
        <v>0.2</v>
      </c>
      <c r="D22" s="1">
        <f t="shared" si="0"/>
        <v>0.2</v>
      </c>
      <c r="E22" s="4">
        <f t="shared" si="1"/>
        <v>0</v>
      </c>
      <c r="F22" s="4">
        <f t="shared" si="2"/>
        <v>0.93500000000000005</v>
      </c>
      <c r="G22" s="3">
        <f t="shared" si="3"/>
        <v>53.571599094725926</v>
      </c>
      <c r="H22" s="2">
        <f t="shared" si="4"/>
        <v>0.5938184263740639</v>
      </c>
      <c r="I22" s="2">
        <f t="shared" si="5"/>
        <v>0.80459907811196907</v>
      </c>
      <c r="J22" s="4">
        <f t="shared" si="6"/>
        <v>0.11876368527481281</v>
      </c>
      <c r="K22" s="4">
        <f t="shared" si="7"/>
        <v>0.16091981562239394</v>
      </c>
    </row>
    <row r="23" spans="1:11" x14ac:dyDescent="0.45">
      <c r="A23" s="1">
        <v>1.05</v>
      </c>
      <c r="B23" s="35">
        <v>0.2</v>
      </c>
      <c r="C23" s="35">
        <v>0.2</v>
      </c>
      <c r="D23" s="1">
        <f t="shared" ref="D23:D28" si="8">(B23+C23)/2</f>
        <v>0.2</v>
      </c>
      <c r="E23" s="4">
        <f t="shared" ref="E23:E28" si="9">(B23-C23)/P$3</f>
        <v>0</v>
      </c>
      <c r="F23" s="4">
        <f t="shared" ref="F23:F28" si="10">F22+E23*N$3</f>
        <v>0.93500000000000005</v>
      </c>
      <c r="G23" s="3">
        <f t="shared" si="3"/>
        <v>53.571599094725926</v>
      </c>
      <c r="H23" s="2">
        <f t="shared" ref="H23:H28" si="11">COS((F23+F22)/2)</f>
        <v>0.5938184263740639</v>
      </c>
      <c r="I23" s="2">
        <f t="shared" ref="I23:I28" si="12">SIN((F23+F22)/2)</f>
        <v>0.80459907811196907</v>
      </c>
      <c r="J23" s="4">
        <f t="shared" ref="J23:J28" si="13">J22+D23*N$3*H23</f>
        <v>0.12470186953855344</v>
      </c>
      <c r="K23" s="4">
        <f t="shared" ref="K23:K28" si="14">K22+D23*N$3*I23</f>
        <v>0.16896580640351364</v>
      </c>
    </row>
    <row r="24" spans="1:11" x14ac:dyDescent="0.45">
      <c r="A24" s="1">
        <v>1.1000000000000001</v>
      </c>
      <c r="B24" s="35">
        <v>0.2</v>
      </c>
      <c r="C24" s="35">
        <v>0.2</v>
      </c>
      <c r="D24" s="1">
        <f t="shared" si="8"/>
        <v>0.2</v>
      </c>
      <c r="E24" s="4">
        <f t="shared" si="9"/>
        <v>0</v>
      </c>
      <c r="F24" s="4">
        <f t="shared" si="10"/>
        <v>0.93500000000000005</v>
      </c>
      <c r="G24" s="3">
        <f t="shared" si="3"/>
        <v>53.571599094725926</v>
      </c>
      <c r="H24" s="2">
        <f t="shared" si="11"/>
        <v>0.5938184263740639</v>
      </c>
      <c r="I24" s="2">
        <f t="shared" si="12"/>
        <v>0.80459907811196907</v>
      </c>
      <c r="J24" s="4">
        <f t="shared" si="13"/>
        <v>0.1306400538022941</v>
      </c>
      <c r="K24" s="4">
        <f t="shared" si="14"/>
        <v>0.17701179718463333</v>
      </c>
    </row>
    <row r="25" spans="1:11" x14ac:dyDescent="0.45">
      <c r="A25" s="1">
        <v>1.1499999999999999</v>
      </c>
      <c r="B25" s="35">
        <v>0.2</v>
      </c>
      <c r="C25" s="35">
        <v>0.2</v>
      </c>
      <c r="D25" s="1">
        <f t="shared" si="8"/>
        <v>0.2</v>
      </c>
      <c r="E25" s="4">
        <f t="shared" si="9"/>
        <v>0</v>
      </c>
      <c r="F25" s="4">
        <f t="shared" si="10"/>
        <v>0.93500000000000005</v>
      </c>
      <c r="G25" s="3">
        <f t="shared" si="3"/>
        <v>53.571599094725926</v>
      </c>
      <c r="H25" s="2">
        <f t="shared" si="11"/>
        <v>0.5938184263740639</v>
      </c>
      <c r="I25" s="2">
        <f t="shared" si="12"/>
        <v>0.80459907811196907</v>
      </c>
      <c r="J25" s="4">
        <f t="shared" si="13"/>
        <v>0.13657823806603475</v>
      </c>
      <c r="K25" s="4">
        <f t="shared" si="14"/>
        <v>0.18505778796575303</v>
      </c>
    </row>
    <row r="26" spans="1:11" x14ac:dyDescent="0.45">
      <c r="A26" s="1">
        <v>1.2</v>
      </c>
      <c r="B26" s="35">
        <v>0.2</v>
      </c>
      <c r="C26" s="35">
        <v>0.2</v>
      </c>
      <c r="D26" s="1">
        <f t="shared" si="8"/>
        <v>0.2</v>
      </c>
      <c r="E26" s="4">
        <f t="shared" si="9"/>
        <v>0</v>
      </c>
      <c r="F26" s="4">
        <f t="shared" si="10"/>
        <v>0.93500000000000005</v>
      </c>
      <c r="G26" s="3">
        <f t="shared" si="3"/>
        <v>53.571599094725926</v>
      </c>
      <c r="H26" s="2">
        <f t="shared" si="11"/>
        <v>0.5938184263740639</v>
      </c>
      <c r="I26" s="2">
        <f t="shared" si="12"/>
        <v>0.80459907811196907</v>
      </c>
      <c r="J26" s="4">
        <f t="shared" si="13"/>
        <v>0.14251642232977541</v>
      </c>
      <c r="K26" s="4">
        <f t="shared" si="14"/>
        <v>0.19310377874687273</v>
      </c>
    </row>
    <row r="27" spans="1:11" x14ac:dyDescent="0.45">
      <c r="A27" s="1">
        <v>1.25</v>
      </c>
      <c r="B27" s="35">
        <v>0.2</v>
      </c>
      <c r="C27" s="35">
        <v>0.2</v>
      </c>
      <c r="D27" s="1">
        <f t="shared" si="8"/>
        <v>0.2</v>
      </c>
      <c r="E27" s="4">
        <f t="shared" si="9"/>
        <v>0</v>
      </c>
      <c r="F27" s="4">
        <f t="shared" si="10"/>
        <v>0.93500000000000005</v>
      </c>
      <c r="G27" s="3">
        <f t="shared" si="3"/>
        <v>53.571599094725926</v>
      </c>
      <c r="H27" s="2">
        <f t="shared" si="11"/>
        <v>0.5938184263740639</v>
      </c>
      <c r="I27" s="2">
        <f t="shared" si="12"/>
        <v>0.80459907811196907</v>
      </c>
      <c r="J27" s="4">
        <f t="shared" si="13"/>
        <v>0.14845460659351606</v>
      </c>
      <c r="K27" s="4">
        <f t="shared" si="14"/>
        <v>0.20114976952799243</v>
      </c>
    </row>
    <row r="28" spans="1:11" x14ac:dyDescent="0.45">
      <c r="A28" s="1">
        <v>1.3</v>
      </c>
      <c r="B28" s="35">
        <v>0.2</v>
      </c>
      <c r="C28" s="35">
        <v>0.2</v>
      </c>
      <c r="D28" s="1">
        <f t="shared" si="8"/>
        <v>0.2</v>
      </c>
      <c r="E28" s="4">
        <f t="shared" si="9"/>
        <v>0</v>
      </c>
      <c r="F28" s="4">
        <f t="shared" si="10"/>
        <v>0.93500000000000005</v>
      </c>
      <c r="G28" s="3">
        <f t="shared" si="3"/>
        <v>53.571599094725926</v>
      </c>
      <c r="H28" s="2">
        <f t="shared" si="11"/>
        <v>0.5938184263740639</v>
      </c>
      <c r="I28" s="2">
        <f t="shared" si="12"/>
        <v>0.80459907811196907</v>
      </c>
      <c r="J28" s="4">
        <f t="shared" si="13"/>
        <v>0.15439279085725671</v>
      </c>
      <c r="K28" s="4">
        <f t="shared" si="14"/>
        <v>0.20919576030911213</v>
      </c>
    </row>
    <row r="29" spans="1:11" x14ac:dyDescent="0.45">
      <c r="A29" s="1">
        <v>1.35</v>
      </c>
      <c r="B29" s="1">
        <v>0.1</v>
      </c>
      <c r="C29" s="1">
        <v>0.03</v>
      </c>
      <c r="D29" s="1">
        <f t="shared" ref="D29:D92" si="15">(B29+C29)/2</f>
        <v>6.5000000000000002E-2</v>
      </c>
      <c r="E29" s="4">
        <f t="shared" ref="E29:E92" si="16">(B29-C29)/P$3</f>
        <v>0.48611111111111122</v>
      </c>
      <c r="F29" s="4">
        <f t="shared" ref="F29:F92" si="17">F28+E29*N$3</f>
        <v>0.95930555555555563</v>
      </c>
      <c r="G29" s="3">
        <f t="shared" si="3"/>
        <v>54.964206023064762</v>
      </c>
      <c r="H29" s="2">
        <f t="shared" ref="H29:H92" si="18">COS((F29+F28)/2)</f>
        <v>0.58399670327977171</v>
      </c>
      <c r="I29" s="2">
        <f t="shared" ref="I29:I92" si="19">SIN((F29+F28)/2)</f>
        <v>0.81175602896335686</v>
      </c>
      <c r="J29" s="4">
        <f t="shared" ref="J29:J92" si="20">J28+D29*N$3*H29</f>
        <v>0.15629078014291597</v>
      </c>
      <c r="K29" s="4">
        <f t="shared" ref="K29:K92" si="21">K28+D29*N$3*I29</f>
        <v>0.21183396740324303</v>
      </c>
    </row>
    <row r="30" spans="1:11" x14ac:dyDescent="0.45">
      <c r="A30" s="1">
        <v>1.4</v>
      </c>
      <c r="B30" s="1">
        <v>0.14000000000000001</v>
      </c>
      <c r="C30" s="1">
        <v>0.03</v>
      </c>
      <c r="D30" s="1">
        <f t="shared" si="15"/>
        <v>8.5000000000000006E-2</v>
      </c>
      <c r="E30" s="4">
        <f t="shared" si="16"/>
        <v>0.76388888888888906</v>
      </c>
      <c r="F30" s="4">
        <f t="shared" si="17"/>
        <v>0.99750000000000005</v>
      </c>
      <c r="G30" s="3">
        <f t="shared" si="3"/>
        <v>57.152588339025783</v>
      </c>
      <c r="H30" s="2">
        <f t="shared" si="18"/>
        <v>0.55834832454265704</v>
      </c>
      <c r="I30" s="2">
        <f t="shared" si="19"/>
        <v>0.82960662273176655</v>
      </c>
      <c r="J30" s="4">
        <f t="shared" si="20"/>
        <v>0.15866376052222228</v>
      </c>
      <c r="K30" s="4">
        <f t="shared" si="21"/>
        <v>0.21535979554985304</v>
      </c>
    </row>
    <row r="31" spans="1:11" x14ac:dyDescent="0.45">
      <c r="A31" s="1">
        <v>1.45</v>
      </c>
      <c r="B31" s="1">
        <v>0.16</v>
      </c>
      <c r="C31" s="1">
        <v>0.03</v>
      </c>
      <c r="D31" s="1">
        <f t="shared" si="15"/>
        <v>9.5000000000000001E-2</v>
      </c>
      <c r="E31" s="4">
        <f t="shared" si="16"/>
        <v>0.9027777777777779</v>
      </c>
      <c r="F31" s="4">
        <f t="shared" si="17"/>
        <v>1.0426388888888889</v>
      </c>
      <c r="G31" s="3">
        <f t="shared" si="3"/>
        <v>59.738858348797905</v>
      </c>
      <c r="H31" s="2">
        <f t="shared" si="18"/>
        <v>0.52330677582153196</v>
      </c>
      <c r="I31" s="2">
        <f t="shared" si="19"/>
        <v>0.85214436475240096</v>
      </c>
      <c r="J31" s="4">
        <f t="shared" si="20"/>
        <v>0.16114946770737457</v>
      </c>
      <c r="K31" s="4">
        <f t="shared" si="21"/>
        <v>0.21940748128242696</v>
      </c>
    </row>
    <row r="32" spans="1:11" x14ac:dyDescent="0.45">
      <c r="A32" s="1">
        <v>1.5</v>
      </c>
      <c r="B32" s="1">
        <v>0.2</v>
      </c>
      <c r="C32" s="1">
        <v>0.03</v>
      </c>
      <c r="D32" s="1">
        <f t="shared" si="15"/>
        <v>0.115</v>
      </c>
      <c r="E32" s="4">
        <f t="shared" si="16"/>
        <v>1.1805555555555558</v>
      </c>
      <c r="F32" s="4">
        <f t="shared" si="17"/>
        <v>1.1016666666666666</v>
      </c>
      <c r="G32" s="3">
        <f t="shared" si="3"/>
        <v>63.120903746192212</v>
      </c>
      <c r="H32" s="2">
        <f t="shared" si="18"/>
        <v>0.47823470017895053</v>
      </c>
      <c r="I32" s="2">
        <f t="shared" si="19"/>
        <v>0.87823207157604377</v>
      </c>
      <c r="J32" s="4">
        <f t="shared" si="20"/>
        <v>0.16389931723340354</v>
      </c>
      <c r="K32" s="4">
        <f t="shared" si="21"/>
        <v>0.22445731569398922</v>
      </c>
    </row>
    <row r="33" spans="1:11" x14ac:dyDescent="0.45">
      <c r="A33" s="1">
        <v>1.55</v>
      </c>
      <c r="B33" s="1">
        <v>0.3</v>
      </c>
      <c r="C33" s="1">
        <v>0.03</v>
      </c>
      <c r="D33" s="1">
        <f t="shared" si="15"/>
        <v>0.16499999999999998</v>
      </c>
      <c r="E33" s="4">
        <f t="shared" si="16"/>
        <v>1.8750000000000002</v>
      </c>
      <c r="F33" s="4">
        <f t="shared" si="17"/>
        <v>1.1954166666666666</v>
      </c>
      <c r="G33" s="3">
        <f t="shared" si="3"/>
        <v>68.492387612642005</v>
      </c>
      <c r="H33" s="2">
        <f t="shared" si="18"/>
        <v>0.40981812011946389</v>
      </c>
      <c r="I33" s="2">
        <f t="shared" si="19"/>
        <v>0.91216725901654061</v>
      </c>
      <c r="J33" s="4">
        <f t="shared" si="20"/>
        <v>0.16728031672438912</v>
      </c>
      <c r="K33" s="4">
        <f t="shared" si="21"/>
        <v>0.23198269558087567</v>
      </c>
    </row>
    <row r="34" spans="1:11" x14ac:dyDescent="0.45">
      <c r="A34" s="1">
        <v>1.6</v>
      </c>
      <c r="B34" s="36">
        <v>0.35</v>
      </c>
      <c r="C34" s="36">
        <v>0.03</v>
      </c>
      <c r="D34" s="1">
        <f t="shared" si="15"/>
        <v>0.19</v>
      </c>
      <c r="E34" s="4">
        <f t="shared" si="16"/>
        <v>2.2222222222222219</v>
      </c>
      <c r="F34" s="4">
        <f t="shared" si="17"/>
        <v>1.3065277777777777</v>
      </c>
      <c r="G34" s="3">
        <f t="shared" si="3"/>
        <v>74.858590713619535</v>
      </c>
      <c r="H34" s="2">
        <f t="shared" si="18"/>
        <v>0.31439958958126352</v>
      </c>
      <c r="I34" s="2">
        <f t="shared" si="19"/>
        <v>0.94929073421746457</v>
      </c>
      <c r="J34" s="4">
        <f t="shared" si="20"/>
        <v>0.17026711282541113</v>
      </c>
      <c r="K34" s="4">
        <f t="shared" si="21"/>
        <v>0.24100095755594159</v>
      </c>
    </row>
    <row r="35" spans="1:11" x14ac:dyDescent="0.45">
      <c r="A35" s="1">
        <v>1.65</v>
      </c>
      <c r="B35" s="36">
        <v>0.35</v>
      </c>
      <c r="C35" s="36">
        <v>0.03</v>
      </c>
      <c r="D35" s="1">
        <f t="shared" si="15"/>
        <v>0.19</v>
      </c>
      <c r="E35" s="4">
        <f t="shared" si="16"/>
        <v>2.2222222222222219</v>
      </c>
      <c r="F35" s="4">
        <f t="shared" si="17"/>
        <v>1.4176388888888889</v>
      </c>
      <c r="G35" s="3">
        <f t="shared" si="3"/>
        <v>81.224793814597078</v>
      </c>
      <c r="H35" s="2">
        <f t="shared" si="18"/>
        <v>0.20720099536655909</v>
      </c>
      <c r="I35" s="2">
        <f t="shared" si="19"/>
        <v>0.97829839390602458</v>
      </c>
      <c r="J35" s="4">
        <f t="shared" si="20"/>
        <v>0.17223552228139344</v>
      </c>
      <c r="K35" s="4">
        <f t="shared" si="21"/>
        <v>0.2502947922980488</v>
      </c>
    </row>
    <row r="36" spans="1:11" x14ac:dyDescent="0.45">
      <c r="A36" s="1">
        <v>1.7</v>
      </c>
      <c r="B36" s="36">
        <v>0.35</v>
      </c>
      <c r="C36" s="36">
        <v>0.03</v>
      </c>
      <c r="D36" s="1">
        <f t="shared" si="15"/>
        <v>0.19</v>
      </c>
      <c r="E36" s="4">
        <f t="shared" si="16"/>
        <v>2.2222222222222219</v>
      </c>
      <c r="F36" s="4">
        <f t="shared" si="17"/>
        <v>1.5287500000000001</v>
      </c>
      <c r="G36" s="3">
        <f t="shared" si="3"/>
        <v>87.590996915574607</v>
      </c>
      <c r="H36" s="2">
        <f t="shared" si="18"/>
        <v>9.7446994814532686E-2</v>
      </c>
      <c r="I36" s="2">
        <f t="shared" si="19"/>
        <v>0.99524071620971</v>
      </c>
      <c r="J36" s="4">
        <f t="shared" si="20"/>
        <v>0.1731612687321315</v>
      </c>
      <c r="K36" s="4">
        <f t="shared" si="21"/>
        <v>0.25974957910204105</v>
      </c>
    </row>
    <row r="37" spans="1:11" x14ac:dyDescent="0.45">
      <c r="A37" s="1">
        <v>1.75</v>
      </c>
      <c r="B37" s="36">
        <v>0.35</v>
      </c>
      <c r="C37" s="36">
        <v>0.03</v>
      </c>
      <c r="D37" s="1">
        <f t="shared" si="15"/>
        <v>0.19</v>
      </c>
      <c r="E37" s="4">
        <f t="shared" si="16"/>
        <v>2.2222222222222219</v>
      </c>
      <c r="F37" s="4">
        <f t="shared" si="17"/>
        <v>1.6398611111111112</v>
      </c>
      <c r="G37" s="3">
        <f t="shared" si="3"/>
        <v>93.957200016552136</v>
      </c>
      <c r="H37" s="2">
        <f t="shared" si="18"/>
        <v>-1.3508817860362638E-2</v>
      </c>
      <c r="I37" s="2">
        <f t="shared" si="19"/>
        <v>0.99990875175688687</v>
      </c>
      <c r="J37" s="4">
        <f t="shared" si="20"/>
        <v>0.17303293496245806</v>
      </c>
      <c r="K37" s="4">
        <f t="shared" si="21"/>
        <v>0.26924871224373148</v>
      </c>
    </row>
    <row r="38" spans="1:11" x14ac:dyDescent="0.45">
      <c r="A38" s="1">
        <v>1.8</v>
      </c>
      <c r="B38" s="36">
        <v>0.35</v>
      </c>
      <c r="C38" s="36">
        <v>0.03</v>
      </c>
      <c r="D38" s="1">
        <f t="shared" si="15"/>
        <v>0.19</v>
      </c>
      <c r="E38" s="4">
        <f t="shared" si="16"/>
        <v>2.2222222222222219</v>
      </c>
      <c r="F38" s="4">
        <f t="shared" si="17"/>
        <v>1.7509722222222224</v>
      </c>
      <c r="G38" s="3">
        <f t="shared" si="3"/>
        <v>100.32340311752966</v>
      </c>
      <c r="H38" s="2">
        <f t="shared" si="18"/>
        <v>-0.12429802651528678</v>
      </c>
      <c r="I38" s="2">
        <f t="shared" si="19"/>
        <v>0.99224492974487155</v>
      </c>
      <c r="J38" s="4">
        <f t="shared" si="20"/>
        <v>0.17185210371056284</v>
      </c>
      <c r="K38" s="4">
        <f t="shared" si="21"/>
        <v>0.27867503907630775</v>
      </c>
    </row>
    <row r="39" spans="1:11" x14ac:dyDescent="0.45">
      <c r="A39" s="1">
        <v>1.85</v>
      </c>
      <c r="B39" s="36">
        <v>0.35</v>
      </c>
      <c r="C39" s="36">
        <v>0.03</v>
      </c>
      <c r="D39" s="1">
        <f t="shared" si="15"/>
        <v>0.19</v>
      </c>
      <c r="E39" s="4">
        <f t="shared" si="16"/>
        <v>2.2222222222222219</v>
      </c>
      <c r="F39" s="4">
        <f t="shared" si="17"/>
        <v>1.8620833333333335</v>
      </c>
      <c r="G39" s="3">
        <f t="shared" si="3"/>
        <v>106.68960621850719</v>
      </c>
      <c r="H39" s="2">
        <f t="shared" si="18"/>
        <v>-0.23355426973193272</v>
      </c>
      <c r="I39" s="2">
        <f t="shared" si="19"/>
        <v>0.97234376795965716</v>
      </c>
      <c r="J39" s="4">
        <f t="shared" si="20"/>
        <v>0.16963333814810946</v>
      </c>
      <c r="K39" s="4">
        <f t="shared" si="21"/>
        <v>0.28791230487192448</v>
      </c>
    </row>
    <row r="40" spans="1:11" x14ac:dyDescent="0.45">
      <c r="A40" s="1">
        <v>1.9</v>
      </c>
      <c r="B40" s="36">
        <v>0.35</v>
      </c>
      <c r="C40" s="36">
        <v>0.03</v>
      </c>
      <c r="D40" s="1">
        <f t="shared" si="15"/>
        <v>0.19</v>
      </c>
      <c r="E40" s="4">
        <f t="shared" si="16"/>
        <v>2.2222222222222219</v>
      </c>
      <c r="F40" s="4">
        <f t="shared" si="17"/>
        <v>1.9731944444444447</v>
      </c>
      <c r="G40" s="3">
        <f t="shared" si="3"/>
        <v>113.05580931948475</v>
      </c>
      <c r="H40" s="2">
        <f t="shared" si="18"/>
        <v>-0.33993009212856407</v>
      </c>
      <c r="I40" s="2">
        <f t="shared" si="19"/>
        <v>0.94045070708967304</v>
      </c>
      <c r="J40" s="4">
        <f t="shared" si="20"/>
        <v>0.1664040022728881</v>
      </c>
      <c r="K40" s="4">
        <f t="shared" si="21"/>
        <v>0.29684658658927637</v>
      </c>
    </row>
    <row r="41" spans="1:11" x14ac:dyDescent="0.45">
      <c r="A41" s="1">
        <v>1.95</v>
      </c>
      <c r="B41" s="36">
        <v>0.35</v>
      </c>
      <c r="C41" s="36">
        <v>0.03</v>
      </c>
      <c r="D41" s="1">
        <f t="shared" si="15"/>
        <v>0.19</v>
      </c>
      <c r="E41" s="4">
        <f t="shared" si="16"/>
        <v>2.2222222222222219</v>
      </c>
      <c r="F41" s="4">
        <f t="shared" si="17"/>
        <v>2.0843055555555559</v>
      </c>
      <c r="G41" s="3">
        <f t="shared" si="3"/>
        <v>119.42201242046228</v>
      </c>
      <c r="H41" s="2">
        <f t="shared" si="18"/>
        <v>-0.44211356250422668</v>
      </c>
      <c r="I41" s="2">
        <f t="shared" si="19"/>
        <v>0.89695908370996569</v>
      </c>
      <c r="J41" s="4">
        <f t="shared" si="20"/>
        <v>0.16220392342909795</v>
      </c>
      <c r="K41" s="4">
        <f t="shared" si="21"/>
        <v>0.30536769788452106</v>
      </c>
    </row>
    <row r="42" spans="1:11" x14ac:dyDescent="0.45">
      <c r="A42" s="1">
        <v>2</v>
      </c>
      <c r="B42" s="36">
        <v>0.35</v>
      </c>
      <c r="C42" s="36">
        <v>0.03</v>
      </c>
      <c r="D42" s="1">
        <f t="shared" si="15"/>
        <v>0.19</v>
      </c>
      <c r="E42" s="4">
        <f t="shared" si="16"/>
        <v>2.2222222222222219</v>
      </c>
      <c r="F42" s="4">
        <f t="shared" si="17"/>
        <v>2.195416666666667</v>
      </c>
      <c r="G42" s="3">
        <f t="shared" si="3"/>
        <v>125.78821552143981</v>
      </c>
      <c r="H42" s="2">
        <f t="shared" si="18"/>
        <v>-0.53884445386384383</v>
      </c>
      <c r="I42" s="2">
        <f t="shared" si="19"/>
        <v>0.84240527926893705</v>
      </c>
      <c r="J42" s="4">
        <f t="shared" si="20"/>
        <v>0.15708490111739143</v>
      </c>
      <c r="K42" s="4">
        <f t="shared" si="21"/>
        <v>0.31337054803757597</v>
      </c>
    </row>
    <row r="43" spans="1:11" x14ac:dyDescent="0.45">
      <c r="A43" s="1">
        <v>2.0499999999999998</v>
      </c>
      <c r="B43" s="36">
        <v>0.35</v>
      </c>
      <c r="C43" s="36">
        <v>0.03</v>
      </c>
      <c r="D43" s="1">
        <f t="shared" si="15"/>
        <v>0.19</v>
      </c>
      <c r="E43" s="4">
        <f t="shared" si="16"/>
        <v>2.2222222222222219</v>
      </c>
      <c r="F43" s="4">
        <f t="shared" si="17"/>
        <v>2.3065277777777782</v>
      </c>
      <c r="G43" s="3">
        <f t="shared" si="3"/>
        <v>132.15441862241732</v>
      </c>
      <c r="H43" s="2">
        <f t="shared" si="18"/>
        <v>-0.62892978577622816</v>
      </c>
      <c r="I43" s="2">
        <f t="shared" si="19"/>
        <v>0.77746210490509937</v>
      </c>
      <c r="J43" s="4">
        <f t="shared" si="20"/>
        <v>0.15111006815251726</v>
      </c>
      <c r="K43" s="4">
        <f t="shared" si="21"/>
        <v>0.32075643803417442</v>
      </c>
    </row>
    <row r="44" spans="1:11" x14ac:dyDescent="0.45">
      <c r="A44" s="1">
        <v>2.1</v>
      </c>
      <c r="B44" s="36">
        <v>0.35</v>
      </c>
      <c r="C44" s="36">
        <v>0.03</v>
      </c>
      <c r="D44" s="1">
        <f t="shared" si="15"/>
        <v>0.19</v>
      </c>
      <c r="E44" s="4">
        <f t="shared" si="16"/>
        <v>2.2222222222222219</v>
      </c>
      <c r="F44" s="4">
        <f t="shared" si="17"/>
        <v>2.4176388888888893</v>
      </c>
      <c r="G44" s="3">
        <f t="shared" si="3"/>
        <v>138.52062172339487</v>
      </c>
      <c r="H44" s="2">
        <f t="shared" si="18"/>
        <v>-0.71125853738136047</v>
      </c>
      <c r="I44" s="2">
        <f t="shared" si="19"/>
        <v>0.70293050367879739</v>
      </c>
      <c r="J44" s="4">
        <f t="shared" si="20"/>
        <v>0.14435311204739434</v>
      </c>
      <c r="K44" s="4">
        <f t="shared" si="21"/>
        <v>0.32743427781912299</v>
      </c>
    </row>
    <row r="45" spans="1:11" x14ac:dyDescent="0.45">
      <c r="A45" s="1">
        <v>2.15</v>
      </c>
      <c r="B45" s="36">
        <v>0.35</v>
      </c>
      <c r="C45" s="36">
        <v>0.03</v>
      </c>
      <c r="D45" s="1">
        <f t="shared" si="15"/>
        <v>0.19</v>
      </c>
      <c r="E45" s="4">
        <f t="shared" si="16"/>
        <v>2.2222222222222219</v>
      </c>
      <c r="F45" s="4">
        <f t="shared" si="17"/>
        <v>2.5287500000000005</v>
      </c>
      <c r="G45" s="3">
        <f t="shared" si="3"/>
        <v>144.88682482437241</v>
      </c>
      <c r="H45" s="2">
        <f t="shared" si="18"/>
        <v>-0.78481534959168864</v>
      </c>
      <c r="I45" s="2">
        <f t="shared" si="19"/>
        <v>0.61972967255511946</v>
      </c>
      <c r="J45" s="4">
        <f t="shared" si="20"/>
        <v>0.1368973662262733</v>
      </c>
      <c r="K45" s="4">
        <f t="shared" si="21"/>
        <v>0.33332170970839664</v>
      </c>
    </row>
    <row r="46" spans="1:11" x14ac:dyDescent="0.45">
      <c r="A46" s="1">
        <v>2.2000000000000002</v>
      </c>
      <c r="B46" s="36">
        <v>0.35</v>
      </c>
      <c r="C46" s="36">
        <v>0.03</v>
      </c>
      <c r="D46" s="1">
        <f t="shared" si="15"/>
        <v>0.19</v>
      </c>
      <c r="E46" s="4">
        <f t="shared" si="16"/>
        <v>2.2222222222222219</v>
      </c>
      <c r="F46" s="4">
        <f t="shared" si="17"/>
        <v>2.6398611111111117</v>
      </c>
      <c r="G46" s="3">
        <f t="shared" si="3"/>
        <v>151.25302792534995</v>
      </c>
      <c r="H46" s="2">
        <f t="shared" si="18"/>
        <v>-0.84869304749840879</v>
      </c>
      <c r="I46" s="2">
        <f t="shared" si="19"/>
        <v>0.5288857259634292</v>
      </c>
      <c r="J46" s="4">
        <f t="shared" si="20"/>
        <v>0.12883478227503842</v>
      </c>
      <c r="K46" s="4">
        <f t="shared" si="21"/>
        <v>0.33834612410504922</v>
      </c>
    </row>
    <row r="47" spans="1:11" x14ac:dyDescent="0.45">
      <c r="A47" s="1">
        <v>2.25</v>
      </c>
      <c r="B47" s="36">
        <v>0.35</v>
      </c>
      <c r="C47" s="36">
        <v>0.03</v>
      </c>
      <c r="D47" s="1">
        <f t="shared" si="15"/>
        <v>0.19</v>
      </c>
      <c r="E47" s="4">
        <f t="shared" si="16"/>
        <v>2.2222222222222219</v>
      </c>
      <c r="F47" s="4">
        <f t="shared" si="17"/>
        <v>2.7509722222222228</v>
      </c>
      <c r="G47" s="3">
        <f t="shared" si="3"/>
        <v>157.61923102632747</v>
      </c>
      <c r="H47" s="2">
        <f t="shared" si="18"/>
        <v>-0.90210382854412807</v>
      </c>
      <c r="I47" s="2">
        <f t="shared" si="19"/>
        <v>0.43151904074562741</v>
      </c>
      <c r="J47" s="4">
        <f t="shared" si="20"/>
        <v>0.1202647959038692</v>
      </c>
      <c r="K47" s="4">
        <f t="shared" si="21"/>
        <v>0.34244555499213269</v>
      </c>
    </row>
    <row r="48" spans="1:11" x14ac:dyDescent="0.45">
      <c r="A48" s="1">
        <v>2.2999999999999998</v>
      </c>
      <c r="B48" s="36">
        <v>0.35</v>
      </c>
      <c r="C48" s="36">
        <v>0.03</v>
      </c>
      <c r="D48" s="1">
        <f t="shared" si="15"/>
        <v>0.19</v>
      </c>
      <c r="E48" s="4">
        <f t="shared" si="16"/>
        <v>2.2222222222222219</v>
      </c>
      <c r="F48" s="4">
        <f t="shared" si="17"/>
        <v>2.862083333333334</v>
      </c>
      <c r="G48" s="3">
        <f t="shared" si="3"/>
        <v>163.98543412730498</v>
      </c>
      <c r="H48" s="2">
        <f t="shared" si="18"/>
        <v>-0.94438897847834635</v>
      </c>
      <c r="I48" s="2">
        <f t="shared" si="19"/>
        <v>0.32883043856769945</v>
      </c>
      <c r="J48" s="4">
        <f t="shared" si="20"/>
        <v>0.1112931006083249</v>
      </c>
      <c r="K48" s="4">
        <f t="shared" si="21"/>
        <v>0.34556944415852586</v>
      </c>
    </row>
    <row r="49" spans="1:11" x14ac:dyDescent="0.45">
      <c r="A49" s="1">
        <v>2.35</v>
      </c>
      <c r="B49" s="36">
        <v>0.35</v>
      </c>
      <c r="C49" s="36">
        <v>0.03</v>
      </c>
      <c r="D49" s="1">
        <f t="shared" si="15"/>
        <v>0.19</v>
      </c>
      <c r="E49" s="4">
        <f t="shared" si="16"/>
        <v>2.2222222222222219</v>
      </c>
      <c r="F49" s="4">
        <f t="shared" si="17"/>
        <v>2.9731944444444451</v>
      </c>
      <c r="G49" s="3">
        <f t="shared" si="3"/>
        <v>170.35163722828256</v>
      </c>
      <c r="H49" s="2">
        <f t="shared" si="18"/>
        <v>-0.97502699526906222</v>
      </c>
      <c r="I49" s="2">
        <f t="shared" si="19"/>
        <v>0.22208637620661034</v>
      </c>
      <c r="J49" s="4">
        <f t="shared" si="20"/>
        <v>0.10203034415326881</v>
      </c>
      <c r="K49" s="4">
        <f t="shared" si="21"/>
        <v>0.34767926473248867</v>
      </c>
    </row>
    <row r="50" spans="1:11" x14ac:dyDescent="0.45">
      <c r="A50" s="1">
        <v>2.4</v>
      </c>
      <c r="B50" s="36">
        <v>0.35</v>
      </c>
      <c r="C50" s="36">
        <v>0.03</v>
      </c>
      <c r="D50" s="1">
        <f t="shared" si="15"/>
        <v>0.19</v>
      </c>
      <c r="E50" s="4">
        <f t="shared" si="16"/>
        <v>2.2222222222222219</v>
      </c>
      <c r="F50" s="4">
        <f t="shared" si="17"/>
        <v>3.0843055555555563</v>
      </c>
      <c r="G50" s="3">
        <f t="shared" si="3"/>
        <v>176.7178403292601</v>
      </c>
      <c r="H50" s="2">
        <f t="shared" si="18"/>
        <v>-0.99364002077842495</v>
      </c>
      <c r="I50" s="2">
        <f t="shared" si="19"/>
        <v>0.11260332636050913</v>
      </c>
      <c r="J50" s="4">
        <f t="shared" si="20"/>
        <v>9.2590763955873776E-2</v>
      </c>
      <c r="K50" s="4">
        <f t="shared" si="21"/>
        <v>0.34874899633291351</v>
      </c>
    </row>
    <row r="51" spans="1:11" x14ac:dyDescent="0.45">
      <c r="A51" s="1">
        <v>2.4500000000000002</v>
      </c>
      <c r="B51" s="36">
        <v>0.35</v>
      </c>
      <c r="C51" s="36">
        <v>0.03</v>
      </c>
      <c r="D51" s="1">
        <f t="shared" si="15"/>
        <v>0.19</v>
      </c>
      <c r="E51" s="4">
        <f t="shared" si="16"/>
        <v>2.2222222222222219</v>
      </c>
      <c r="F51" s="4">
        <f t="shared" si="17"/>
        <v>3.1954166666666675</v>
      </c>
      <c r="G51" s="3">
        <f t="shared" si="3"/>
        <v>183.08404343023761</v>
      </c>
      <c r="H51" s="2">
        <f t="shared" si="18"/>
        <v>-0.99999850088069686</v>
      </c>
      <c r="I51" s="2">
        <f t="shared" si="19"/>
        <v>1.7315416134181321E-3</v>
      </c>
      <c r="J51" s="4">
        <f t="shared" si="20"/>
        <v>8.3090778197507154E-2</v>
      </c>
      <c r="K51" s="4">
        <f t="shared" si="21"/>
        <v>0.348765445978241</v>
      </c>
    </row>
    <row r="52" spans="1:11" x14ac:dyDescent="0.45">
      <c r="A52" s="1">
        <v>2.5</v>
      </c>
      <c r="B52" s="36">
        <v>0.35</v>
      </c>
      <c r="C52" s="36">
        <v>0.03</v>
      </c>
      <c r="D52" s="1">
        <f t="shared" si="15"/>
        <v>0.19</v>
      </c>
      <c r="E52" s="4">
        <f t="shared" si="16"/>
        <v>2.2222222222222219</v>
      </c>
      <c r="F52" s="4">
        <f t="shared" si="17"/>
        <v>3.3065277777777786</v>
      </c>
      <c r="G52" s="3">
        <f t="shared" si="3"/>
        <v>189.45024653121516</v>
      </c>
      <c r="H52" s="2">
        <f t="shared" si="18"/>
        <v>-0.99402401654936534</v>
      </c>
      <c r="I52" s="2">
        <f t="shared" si="19"/>
        <v>-0.10916159820681937</v>
      </c>
      <c r="J52" s="4">
        <f t="shared" si="20"/>
        <v>7.3647550040288182E-2</v>
      </c>
      <c r="K52" s="4">
        <f t="shared" si="21"/>
        <v>0.34772841079527622</v>
      </c>
    </row>
    <row r="53" spans="1:11" x14ac:dyDescent="0.45">
      <c r="A53" s="1">
        <v>2.5499999999999998</v>
      </c>
      <c r="B53" s="36">
        <v>0.35</v>
      </c>
      <c r="C53" s="36">
        <v>0.03</v>
      </c>
      <c r="D53" s="1">
        <f t="shared" si="15"/>
        <v>0.19</v>
      </c>
      <c r="E53" s="4">
        <f t="shared" si="16"/>
        <v>2.2222222222222219</v>
      </c>
      <c r="F53" s="4">
        <f t="shared" si="17"/>
        <v>3.4176388888888898</v>
      </c>
      <c r="G53" s="3">
        <f t="shared" si="3"/>
        <v>195.81644963219267</v>
      </c>
      <c r="H53" s="2">
        <f t="shared" si="18"/>
        <v>-0.9757902509976577</v>
      </c>
      <c r="I53" s="2">
        <f t="shared" si="19"/>
        <v>-0.21870844990061122</v>
      </c>
      <c r="J53" s="4">
        <f t="shared" si="20"/>
        <v>6.437754265581043E-2</v>
      </c>
      <c r="K53" s="4">
        <f t="shared" si="21"/>
        <v>0.34565068052122039</v>
      </c>
    </row>
    <row r="54" spans="1:11" x14ac:dyDescent="0.45">
      <c r="A54" s="1">
        <v>2.6</v>
      </c>
      <c r="B54" s="36">
        <v>0.35</v>
      </c>
      <c r="C54" s="36">
        <v>0.03</v>
      </c>
      <c r="D54" s="1">
        <f t="shared" si="15"/>
        <v>0.19</v>
      </c>
      <c r="E54" s="4">
        <f t="shared" si="16"/>
        <v>2.2222222222222219</v>
      </c>
      <c r="F54" s="4">
        <f t="shared" si="17"/>
        <v>3.5287500000000009</v>
      </c>
      <c r="G54" s="3">
        <f t="shared" si="3"/>
        <v>202.18265273317022</v>
      </c>
      <c r="H54" s="2">
        <f t="shared" si="18"/>
        <v>-0.94552208094473111</v>
      </c>
      <c r="I54" s="2">
        <f t="shared" si="19"/>
        <v>-0.32555797401683362</v>
      </c>
      <c r="J54" s="4">
        <f t="shared" si="20"/>
        <v>5.5395082886835485E-2</v>
      </c>
      <c r="K54" s="4">
        <f t="shared" si="21"/>
        <v>0.34255787976806046</v>
      </c>
    </row>
    <row r="55" spans="1:11" x14ac:dyDescent="0.45">
      <c r="A55" s="1">
        <v>2.65</v>
      </c>
      <c r="B55" s="36">
        <v>0.35</v>
      </c>
      <c r="C55" s="36">
        <v>0.03</v>
      </c>
      <c r="D55" s="1">
        <f t="shared" si="15"/>
        <v>0.19</v>
      </c>
      <c r="E55" s="4">
        <f t="shared" si="16"/>
        <v>2.2222222222222219</v>
      </c>
      <c r="F55" s="4">
        <f t="shared" si="17"/>
        <v>3.6398611111111121</v>
      </c>
      <c r="G55" s="3">
        <f t="shared" si="3"/>
        <v>208.54885583414773</v>
      </c>
      <c r="H55" s="2">
        <f t="shared" si="18"/>
        <v>-0.90359280321493463</v>
      </c>
      <c r="I55" s="2">
        <f t="shared" si="19"/>
        <v>-0.42839239719931593</v>
      </c>
      <c r="J55" s="4">
        <f t="shared" si="20"/>
        <v>4.6810951256293601E-2</v>
      </c>
      <c r="K55" s="4">
        <f t="shared" si="21"/>
        <v>0.33848815199466697</v>
      </c>
    </row>
    <row r="56" spans="1:11" x14ac:dyDescent="0.45">
      <c r="A56" s="1">
        <v>2.7</v>
      </c>
      <c r="B56" s="36">
        <v>0.35</v>
      </c>
      <c r="C56" s="36">
        <v>0.03</v>
      </c>
      <c r="D56" s="1">
        <f t="shared" si="15"/>
        <v>0.19</v>
      </c>
      <c r="E56" s="4">
        <f t="shared" si="16"/>
        <v>2.2222222222222219</v>
      </c>
      <c r="F56" s="4">
        <f t="shared" si="17"/>
        <v>3.7509722222222233</v>
      </c>
      <c r="G56" s="3">
        <f t="shared" si="3"/>
        <v>214.91505893512527</v>
      </c>
      <c r="H56" s="2">
        <f t="shared" si="18"/>
        <v>-0.8505195308744512</v>
      </c>
      <c r="I56" s="2">
        <f t="shared" si="19"/>
        <v>-0.52594346426313099</v>
      </c>
      <c r="J56" s="4">
        <f t="shared" si="20"/>
        <v>3.8731015712986316E-2</v>
      </c>
      <c r="K56" s="4">
        <f t="shared" si="21"/>
        <v>0.33349168908416721</v>
      </c>
    </row>
    <row r="57" spans="1:11" x14ac:dyDescent="0.45">
      <c r="A57" s="1">
        <v>2.75</v>
      </c>
      <c r="B57" s="36">
        <v>0.35</v>
      </c>
      <c r="C57" s="36">
        <v>0.03</v>
      </c>
      <c r="D57" s="1">
        <f t="shared" si="15"/>
        <v>0.19</v>
      </c>
      <c r="E57" s="4">
        <f t="shared" si="16"/>
        <v>2.2222222222222219</v>
      </c>
      <c r="F57" s="4">
        <f t="shared" si="17"/>
        <v>3.8620833333333344</v>
      </c>
      <c r="G57" s="3">
        <f t="shared" si="3"/>
        <v>221.28126203610282</v>
      </c>
      <c r="H57" s="2">
        <f t="shared" si="18"/>
        <v>-0.78695681568468145</v>
      </c>
      <c r="I57" s="2">
        <f t="shared" si="19"/>
        <v>-0.6170080795641385</v>
      </c>
      <c r="J57" s="4">
        <f t="shared" si="20"/>
        <v>3.1254925963981842E-2</v>
      </c>
      <c r="K57" s="4">
        <f t="shared" si="21"/>
        <v>0.32763011232830791</v>
      </c>
    </row>
    <row r="58" spans="1:11" x14ac:dyDescent="0.45">
      <c r="A58" s="1">
        <v>2.8</v>
      </c>
      <c r="B58" s="36">
        <v>0.35</v>
      </c>
      <c r="C58" s="36">
        <v>0.03</v>
      </c>
      <c r="D58" s="1">
        <f t="shared" si="15"/>
        <v>0.19</v>
      </c>
      <c r="E58" s="4">
        <f t="shared" si="16"/>
        <v>2.2222222222222219</v>
      </c>
      <c r="F58" s="4">
        <f t="shared" si="17"/>
        <v>3.9731944444444456</v>
      </c>
      <c r="G58" s="3">
        <f t="shared" si="3"/>
        <v>227.64746513708033</v>
      </c>
      <c r="H58" s="2">
        <f t="shared" si="18"/>
        <v>-0.71368857552655152</v>
      </c>
      <c r="I58" s="2">
        <f t="shared" si="19"/>
        <v>-0.70046314475701132</v>
      </c>
      <c r="J58" s="4">
        <f t="shared" si="20"/>
        <v>2.4474884496479603E-2</v>
      </c>
      <c r="K58" s="4">
        <f t="shared" si="21"/>
        <v>0.32097571245311629</v>
      </c>
    </row>
    <row r="59" spans="1:11" x14ac:dyDescent="0.45">
      <c r="A59" s="1">
        <v>2.85</v>
      </c>
      <c r="B59" s="36">
        <v>0.35</v>
      </c>
      <c r="C59" s="36">
        <v>0.03</v>
      </c>
      <c r="D59" s="1">
        <f t="shared" si="15"/>
        <v>0.19</v>
      </c>
      <c r="E59" s="4">
        <f t="shared" si="16"/>
        <v>2.2222222222222219</v>
      </c>
      <c r="F59" s="4">
        <f t="shared" si="17"/>
        <v>4.0843055555555567</v>
      </c>
      <c r="G59" s="3">
        <f t="shared" si="3"/>
        <v>234.01366823805787</v>
      </c>
      <c r="H59" s="2">
        <f t="shared" si="18"/>
        <v>-0.63161842635467114</v>
      </c>
      <c r="I59" s="2">
        <f t="shared" si="19"/>
        <v>-0.77527940994795475</v>
      </c>
      <c r="J59" s="4">
        <f t="shared" si="20"/>
        <v>1.8474509446110225E-2</v>
      </c>
      <c r="K59" s="4">
        <f t="shared" si="21"/>
        <v>0.31361055805861071</v>
      </c>
    </row>
    <row r="60" spans="1:11" x14ac:dyDescent="0.45">
      <c r="A60" s="1">
        <v>2.9</v>
      </c>
      <c r="B60" s="36">
        <v>0.35</v>
      </c>
      <c r="C60" s="36">
        <v>0.03</v>
      </c>
      <c r="D60" s="1">
        <f t="shared" si="15"/>
        <v>0.19</v>
      </c>
      <c r="E60" s="4">
        <f t="shared" si="16"/>
        <v>2.2222222222222219</v>
      </c>
      <c r="F60" s="4">
        <f t="shared" si="17"/>
        <v>4.1954166666666675</v>
      </c>
      <c r="G60" s="3">
        <f t="shared" si="3"/>
        <v>240.37987133903539</v>
      </c>
      <c r="H60" s="2">
        <f t="shared" si="18"/>
        <v>-0.5417585379172023</v>
      </c>
      <c r="I60" s="2">
        <f t="shared" si="19"/>
        <v>-0.84053416741606368</v>
      </c>
      <c r="J60" s="4">
        <f t="shared" si="20"/>
        <v>1.3327803335896803E-2</v>
      </c>
      <c r="K60" s="4">
        <f t="shared" si="21"/>
        <v>0.3056254834681581</v>
      </c>
    </row>
    <row r="61" spans="1:11" x14ac:dyDescent="0.45">
      <c r="A61" s="1">
        <v>2.95</v>
      </c>
      <c r="B61" s="36">
        <v>0.35</v>
      </c>
      <c r="C61" s="36">
        <v>0.03</v>
      </c>
      <c r="D61" s="1">
        <f t="shared" si="15"/>
        <v>0.19</v>
      </c>
      <c r="E61" s="4">
        <f t="shared" si="16"/>
        <v>2.2222222222222219</v>
      </c>
      <c r="F61" s="4">
        <f t="shared" si="17"/>
        <v>4.3065277777777782</v>
      </c>
      <c r="G61" s="3">
        <f t="shared" si="3"/>
        <v>246.7460744400129</v>
      </c>
      <c r="H61" s="2">
        <f t="shared" si="18"/>
        <v>-0.44521715068363577</v>
      </c>
      <c r="I61" s="2">
        <f t="shared" si="19"/>
        <v>-0.89542263135189115</v>
      </c>
      <c r="J61" s="4">
        <f t="shared" si="20"/>
        <v>9.0982404044022622E-3</v>
      </c>
      <c r="K61" s="4">
        <f t="shared" si="21"/>
        <v>0.29711896847031516</v>
      </c>
    </row>
    <row r="62" spans="1:11" x14ac:dyDescent="0.45">
      <c r="A62" s="1">
        <v>3</v>
      </c>
      <c r="B62" s="36">
        <v>0.35</v>
      </c>
      <c r="C62" s="36">
        <v>0.03</v>
      </c>
      <c r="D62" s="1">
        <f t="shared" si="15"/>
        <v>0.19</v>
      </c>
      <c r="E62" s="4">
        <f t="shared" si="16"/>
        <v>2.2222222222222219</v>
      </c>
      <c r="F62" s="4">
        <f t="shared" si="17"/>
        <v>4.4176388888888889</v>
      </c>
      <c r="G62" s="3">
        <f t="shared" si="3"/>
        <v>253.11227754099039</v>
      </c>
      <c r="H62" s="2">
        <f t="shared" si="18"/>
        <v>-0.3431849079340103</v>
      </c>
      <c r="I62" s="2">
        <f t="shared" si="19"/>
        <v>-0.93926786326709</v>
      </c>
      <c r="J62" s="4">
        <f t="shared" si="20"/>
        <v>5.8379837790291638E-3</v>
      </c>
      <c r="K62" s="4">
        <f t="shared" si="21"/>
        <v>0.28819592376927783</v>
      </c>
    </row>
    <row r="63" spans="1:11" x14ac:dyDescent="0.45">
      <c r="A63" s="1">
        <v>3.05</v>
      </c>
      <c r="B63" s="36">
        <v>0.35</v>
      </c>
      <c r="C63" s="36">
        <v>0.03</v>
      </c>
      <c r="D63" s="1">
        <f t="shared" si="15"/>
        <v>0.19</v>
      </c>
      <c r="E63" s="4">
        <f t="shared" si="16"/>
        <v>2.2222222222222219</v>
      </c>
      <c r="F63" s="4">
        <f t="shared" si="17"/>
        <v>4.5287499999999996</v>
      </c>
      <c r="G63" s="3">
        <f t="shared" si="3"/>
        <v>259.47848064196791</v>
      </c>
      <c r="H63" s="2">
        <f t="shared" si="18"/>
        <v>-0.23692017157567238</v>
      </c>
      <c r="I63" s="2">
        <f t="shared" si="19"/>
        <v>-0.97152912066522945</v>
      </c>
      <c r="J63" s="4">
        <f t="shared" si="20"/>
        <v>3.5872421490602759E-3</v>
      </c>
      <c r="K63" s="4">
        <f t="shared" si="21"/>
        <v>0.27896639712295812</v>
      </c>
    </row>
    <row r="64" spans="1:11" x14ac:dyDescent="0.45">
      <c r="A64" s="1">
        <v>3.1</v>
      </c>
      <c r="B64" s="36">
        <v>0.35</v>
      </c>
      <c r="C64" s="36">
        <v>0.03</v>
      </c>
      <c r="D64" s="1">
        <f t="shared" si="15"/>
        <v>0.19</v>
      </c>
      <c r="E64" s="4">
        <f t="shared" si="16"/>
        <v>2.2222222222222219</v>
      </c>
      <c r="F64" s="4">
        <f t="shared" si="17"/>
        <v>4.6398611111111103</v>
      </c>
      <c r="G64" s="3">
        <f t="shared" si="3"/>
        <v>265.84468374294539</v>
      </c>
      <c r="H64" s="2">
        <f t="shared" si="18"/>
        <v>-0.1277335027873632</v>
      </c>
      <c r="I64" s="2">
        <f t="shared" si="19"/>
        <v>-0.99180852600976899</v>
      </c>
      <c r="J64" s="4">
        <f t="shared" si="20"/>
        <v>2.3737738725803253E-3</v>
      </c>
      <c r="K64" s="4">
        <f t="shared" si="21"/>
        <v>0.26954421612586532</v>
      </c>
    </row>
    <row r="65" spans="1:11" x14ac:dyDescent="0.45">
      <c r="A65" s="1">
        <v>3.15</v>
      </c>
      <c r="B65" s="36">
        <v>0.35</v>
      </c>
      <c r="C65" s="36">
        <v>0.03</v>
      </c>
      <c r="D65" s="1">
        <f t="shared" si="15"/>
        <v>0.19</v>
      </c>
      <c r="E65" s="4">
        <f t="shared" si="16"/>
        <v>2.2222222222222219</v>
      </c>
      <c r="F65" s="4">
        <f t="shared" si="17"/>
        <v>4.750972222222221</v>
      </c>
      <c r="G65" s="3">
        <f t="shared" si="3"/>
        <v>272.21088684392294</v>
      </c>
      <c r="H65" s="2">
        <f t="shared" si="18"/>
        <v>-1.697149889058264E-2</v>
      </c>
      <c r="I65" s="2">
        <f t="shared" si="19"/>
        <v>-0.99985597374092183</v>
      </c>
      <c r="J65" s="4">
        <f t="shared" si="20"/>
        <v>2.2125446331197904E-3</v>
      </c>
      <c r="K65" s="4">
        <f t="shared" si="21"/>
        <v>0.26004558437532654</v>
      </c>
    </row>
    <row r="66" spans="1:11" x14ac:dyDescent="0.45">
      <c r="A66" s="1">
        <v>3.2</v>
      </c>
      <c r="B66" s="37">
        <v>-0.03</v>
      </c>
      <c r="C66" s="37">
        <v>-0.35</v>
      </c>
      <c r="D66" s="1">
        <f t="shared" si="15"/>
        <v>-0.19</v>
      </c>
      <c r="E66" s="4">
        <f t="shared" si="16"/>
        <v>2.2222222222222219</v>
      </c>
      <c r="F66" s="4">
        <f t="shared" si="17"/>
        <v>4.8620833333333318</v>
      </c>
      <c r="G66" s="3">
        <f t="shared" si="3"/>
        <v>278.57708994490042</v>
      </c>
      <c r="H66" s="2">
        <f t="shared" si="18"/>
        <v>9.3999814212179886E-2</v>
      </c>
      <c r="I66" s="2">
        <f t="shared" si="19"/>
        <v>-0.99557221482325209</v>
      </c>
      <c r="J66" s="4">
        <f t="shared" si="20"/>
        <v>1.3195463981040814E-3</v>
      </c>
      <c r="K66" s="4">
        <f t="shared" si="21"/>
        <v>0.26950352041614745</v>
      </c>
    </row>
    <row r="67" spans="1:11" x14ac:dyDescent="0.45">
      <c r="A67" s="1">
        <v>3.25</v>
      </c>
      <c r="B67" s="37">
        <v>-0.03</v>
      </c>
      <c r="C67" s="37">
        <v>-0.35</v>
      </c>
      <c r="D67" s="1">
        <f t="shared" si="15"/>
        <v>-0.19</v>
      </c>
      <c r="E67" s="4">
        <f t="shared" si="16"/>
        <v>2.2222222222222219</v>
      </c>
      <c r="F67" s="4">
        <f t="shared" si="17"/>
        <v>4.9731944444444425</v>
      </c>
      <c r="G67" s="3">
        <f t="shared" si="3"/>
        <v>284.94329304587791</v>
      </c>
      <c r="H67" s="2">
        <f t="shared" si="18"/>
        <v>0.20381182921157212</v>
      </c>
      <c r="I67" s="2">
        <f t="shared" si="19"/>
        <v>-0.97901008078233442</v>
      </c>
      <c r="J67" s="4">
        <f t="shared" si="20"/>
        <v>-6.1666597940585413E-4</v>
      </c>
      <c r="K67" s="4">
        <f t="shared" si="21"/>
        <v>0.27880411618357964</v>
      </c>
    </row>
    <row r="68" spans="1:11" x14ac:dyDescent="0.45">
      <c r="A68" s="1">
        <v>3.3</v>
      </c>
      <c r="B68" s="37">
        <v>-0.03</v>
      </c>
      <c r="C68" s="37">
        <v>-0.35</v>
      </c>
      <c r="D68" s="1">
        <f t="shared" si="15"/>
        <v>-0.19</v>
      </c>
      <c r="E68" s="4">
        <f t="shared" si="16"/>
        <v>2.2222222222222219</v>
      </c>
      <c r="F68" s="4">
        <f t="shared" si="17"/>
        <v>5.0843055555555532</v>
      </c>
      <c r="G68" s="3">
        <f t="shared" ref="G68:G128" si="22">F68*180/3.14159</f>
        <v>291.30949614685545</v>
      </c>
      <c r="H68" s="2">
        <f t="shared" si="18"/>
        <v>0.3111102364019524</v>
      </c>
      <c r="I68" s="2">
        <f t="shared" si="19"/>
        <v>-0.95037383213445081</v>
      </c>
      <c r="J68" s="4">
        <f t="shared" si="20"/>
        <v>-3.5722132252244028E-3</v>
      </c>
      <c r="K68" s="4">
        <f t="shared" si="21"/>
        <v>0.28783266758885695</v>
      </c>
    </row>
    <row r="69" spans="1:11" x14ac:dyDescent="0.45">
      <c r="A69" s="1">
        <v>3.35</v>
      </c>
      <c r="B69" s="37">
        <v>-0.03</v>
      </c>
      <c r="C69" s="37">
        <v>-0.35</v>
      </c>
      <c r="D69" s="1">
        <f t="shared" si="15"/>
        <v>-0.19</v>
      </c>
      <c r="E69" s="4">
        <f t="shared" si="16"/>
        <v>2.2222222222222219</v>
      </c>
      <c r="F69" s="4">
        <f t="shared" si="17"/>
        <v>5.1954166666666639</v>
      </c>
      <c r="G69" s="3">
        <f t="shared" si="22"/>
        <v>297.67569924783294</v>
      </c>
      <c r="H69" s="2">
        <f t="shared" si="18"/>
        <v>0.41457172635986084</v>
      </c>
      <c r="I69" s="2">
        <f t="shared" si="19"/>
        <v>-0.91001663924513199</v>
      </c>
      <c r="J69" s="4">
        <f t="shared" si="20"/>
        <v>-7.5106446256430811E-3</v>
      </c>
      <c r="K69" s="4">
        <f t="shared" si="21"/>
        <v>0.29647782566168568</v>
      </c>
    </row>
    <row r="70" spans="1:11" x14ac:dyDescent="0.45">
      <c r="A70" s="1">
        <v>3.4</v>
      </c>
      <c r="B70" s="37">
        <v>-0.03</v>
      </c>
      <c r="C70" s="37">
        <v>-0.35</v>
      </c>
      <c r="D70" s="1">
        <f t="shared" si="15"/>
        <v>-0.19</v>
      </c>
      <c r="E70" s="4">
        <f t="shared" si="16"/>
        <v>2.2222222222222219</v>
      </c>
      <c r="F70" s="4">
        <f t="shared" si="17"/>
        <v>5.3065277777777746</v>
      </c>
      <c r="G70" s="3">
        <f t="shared" si="22"/>
        <v>304.04190234881042</v>
      </c>
      <c r="H70" s="2">
        <f t="shared" si="18"/>
        <v>0.51292031029653939</v>
      </c>
      <c r="I70" s="2">
        <f t="shared" si="19"/>
        <v>-0.85843622668507047</v>
      </c>
      <c r="J70" s="4">
        <f t="shared" si="20"/>
        <v>-1.2383387573460206E-2</v>
      </c>
      <c r="K70" s="4">
        <f t="shared" si="21"/>
        <v>0.30463296981519383</v>
      </c>
    </row>
    <row r="71" spans="1:11" x14ac:dyDescent="0.45">
      <c r="A71" s="1">
        <v>3.45</v>
      </c>
      <c r="B71" s="37">
        <v>-0.03</v>
      </c>
      <c r="C71" s="37">
        <v>-0.35</v>
      </c>
      <c r="D71" s="1">
        <f t="shared" si="15"/>
        <v>-0.19</v>
      </c>
      <c r="E71" s="4">
        <f t="shared" si="16"/>
        <v>2.2222222222222219</v>
      </c>
      <c r="F71" s="4">
        <f t="shared" si="17"/>
        <v>5.4176388888888853</v>
      </c>
      <c r="G71" s="3">
        <f t="shared" si="22"/>
        <v>310.40810544978797</v>
      </c>
      <c r="H71" s="2">
        <f t="shared" si="18"/>
        <v>0.60494305680587313</v>
      </c>
      <c r="I71" s="2">
        <f t="shared" si="19"/>
        <v>-0.79626873480149041</v>
      </c>
      <c r="J71" s="4">
        <f t="shared" si="20"/>
        <v>-1.8130346613116001E-2</v>
      </c>
      <c r="K71" s="4">
        <f t="shared" si="21"/>
        <v>0.31219752279580798</v>
      </c>
    </row>
    <row r="72" spans="1:11" x14ac:dyDescent="0.45">
      <c r="A72" s="1">
        <v>3.5</v>
      </c>
      <c r="B72" s="37">
        <v>-0.03</v>
      </c>
      <c r="C72" s="37">
        <v>-0.35</v>
      </c>
      <c r="D72" s="1">
        <f t="shared" si="15"/>
        <v>-0.19</v>
      </c>
      <c r="E72" s="4">
        <f t="shared" si="16"/>
        <v>2.2222222222222219</v>
      </c>
      <c r="F72" s="4">
        <f t="shared" si="17"/>
        <v>5.5287499999999961</v>
      </c>
      <c r="G72" s="3">
        <f t="shared" si="22"/>
        <v>316.77430855076545</v>
      </c>
      <c r="H72" s="2">
        <f t="shared" si="18"/>
        <v>0.68950505092670666</v>
      </c>
      <c r="I72" s="2">
        <f t="shared" si="19"/>
        <v>-0.72428087421010889</v>
      </c>
      <c r="J72" s="4">
        <f t="shared" si="20"/>
        <v>-2.4680644596919717E-2</v>
      </c>
      <c r="K72" s="4">
        <f t="shared" si="21"/>
        <v>0.31907819110080404</v>
      </c>
    </row>
    <row r="73" spans="1:11" x14ac:dyDescent="0.45">
      <c r="A73" s="1">
        <v>3.55</v>
      </c>
      <c r="B73" s="37">
        <v>-0.03</v>
      </c>
      <c r="C73" s="37">
        <v>-0.35</v>
      </c>
      <c r="D73" s="1">
        <f t="shared" si="15"/>
        <v>-0.19</v>
      </c>
      <c r="E73" s="4">
        <f t="shared" si="16"/>
        <v>2.2222222222222219</v>
      </c>
      <c r="F73" s="4">
        <f t="shared" si="17"/>
        <v>5.6398611111111068</v>
      </c>
      <c r="G73" s="3">
        <f t="shared" si="22"/>
        <v>323.140511651743</v>
      </c>
      <c r="H73" s="2">
        <f t="shared" si="18"/>
        <v>0.76556339102967952</v>
      </c>
      <c r="I73" s="2">
        <f t="shared" si="19"/>
        <v>-0.64336046996620644</v>
      </c>
      <c r="J73" s="4">
        <f t="shared" si="20"/>
        <v>-3.1953496811701676E-2</v>
      </c>
      <c r="K73" s="4">
        <f t="shared" si="21"/>
        <v>0.325190115565483</v>
      </c>
    </row>
    <row r="74" spans="1:11" x14ac:dyDescent="0.45">
      <c r="A74" s="1">
        <v>3.6</v>
      </c>
      <c r="B74" s="37">
        <v>-0.03</v>
      </c>
      <c r="C74" s="37">
        <v>-0.35</v>
      </c>
      <c r="D74" s="1">
        <f t="shared" si="15"/>
        <v>-0.19</v>
      </c>
      <c r="E74" s="4">
        <f t="shared" si="16"/>
        <v>2.2222222222222219</v>
      </c>
      <c r="F74" s="4">
        <f t="shared" si="17"/>
        <v>5.7509722222222175</v>
      </c>
      <c r="G74" s="3">
        <f t="shared" si="22"/>
        <v>329.50671475272048</v>
      </c>
      <c r="H74" s="2">
        <f t="shared" si="18"/>
        <v>0.83218005090520941</v>
      </c>
      <c r="I74" s="2">
        <f t="shared" si="19"/>
        <v>-0.55450551203338183</v>
      </c>
      <c r="J74" s="4">
        <f t="shared" si="20"/>
        <v>-3.9859207295301166E-2</v>
      </c>
      <c r="K74" s="4">
        <f t="shared" si="21"/>
        <v>0.33045791792980012</v>
      </c>
    </row>
    <row r="75" spans="1:11" x14ac:dyDescent="0.45">
      <c r="A75" s="1">
        <v>3.65</v>
      </c>
      <c r="B75" s="37">
        <v>-0.03</v>
      </c>
      <c r="C75" s="37">
        <v>-0.35</v>
      </c>
      <c r="D75" s="1">
        <f t="shared" si="15"/>
        <v>-0.19</v>
      </c>
      <c r="E75" s="4">
        <f t="shared" si="16"/>
        <v>2.2222222222222219</v>
      </c>
      <c r="F75" s="4">
        <f t="shared" si="17"/>
        <v>5.8620833333333282</v>
      </c>
      <c r="G75" s="3">
        <f t="shared" si="22"/>
        <v>335.87291785369797</v>
      </c>
      <c r="H75" s="2">
        <f t="shared" si="18"/>
        <v>0.8885334484247166</v>
      </c>
      <c r="I75" s="2">
        <f t="shared" si="19"/>
        <v>-0.45881184709037492</v>
      </c>
      <c r="J75" s="4">
        <f t="shared" si="20"/>
        <v>-4.8300275055335976E-2</v>
      </c>
      <c r="K75" s="4">
        <f t="shared" si="21"/>
        <v>0.33481663047715871</v>
      </c>
    </row>
    <row r="76" spans="1:11" x14ac:dyDescent="0.45">
      <c r="A76" s="1">
        <v>3.7</v>
      </c>
      <c r="B76" s="37">
        <v>-0.03</v>
      </c>
      <c r="C76" s="37">
        <v>-0.35</v>
      </c>
      <c r="D76" s="1">
        <f t="shared" si="15"/>
        <v>-0.19</v>
      </c>
      <c r="E76" s="4">
        <f t="shared" si="16"/>
        <v>2.2222222222222219</v>
      </c>
      <c r="F76" s="4">
        <f t="shared" si="17"/>
        <v>5.9731944444444389</v>
      </c>
      <c r="G76" s="3">
        <f t="shared" si="22"/>
        <v>342.23912095467551</v>
      </c>
      <c r="H76" s="2">
        <f t="shared" si="18"/>
        <v>0.93392857809898389</v>
      </c>
      <c r="I76" s="2">
        <f t="shared" si="19"/>
        <v>-0.35745966347269192</v>
      </c>
      <c r="J76" s="4">
        <f t="shared" si="20"/>
        <v>-5.7172596547276328E-2</v>
      </c>
      <c r="K76" s="4">
        <f t="shared" si="21"/>
        <v>0.33821249728014929</v>
      </c>
    </row>
    <row r="77" spans="1:11" x14ac:dyDescent="0.45">
      <c r="A77" s="1">
        <v>3.75</v>
      </c>
      <c r="B77" s="37">
        <v>-0.03</v>
      </c>
      <c r="C77" s="37">
        <v>-0.35</v>
      </c>
      <c r="D77" s="1">
        <f t="shared" si="15"/>
        <v>-0.19</v>
      </c>
      <c r="E77" s="4">
        <f t="shared" si="16"/>
        <v>2.2222222222222219</v>
      </c>
      <c r="F77" s="4">
        <f t="shared" si="17"/>
        <v>6.0843055555555496</v>
      </c>
      <c r="G77" s="3">
        <f t="shared" si="22"/>
        <v>348.60532405565306</v>
      </c>
      <c r="H77" s="2">
        <f t="shared" si="18"/>
        <v>0.96780558256898686</v>
      </c>
      <c r="I77" s="2">
        <f t="shared" si="19"/>
        <v>-0.25169893593001913</v>
      </c>
      <c r="J77" s="4">
        <f t="shared" si="20"/>
        <v>-6.6366749581681705E-2</v>
      </c>
      <c r="K77" s="4">
        <f t="shared" si="21"/>
        <v>0.34060363717148445</v>
      </c>
    </row>
    <row r="78" spans="1:11" x14ac:dyDescent="0.45">
      <c r="A78" s="1">
        <v>3.8</v>
      </c>
      <c r="B78" s="37">
        <v>-0.03</v>
      </c>
      <c r="C78" s="37">
        <v>-0.35</v>
      </c>
      <c r="D78" s="1">
        <f t="shared" si="15"/>
        <v>-0.19</v>
      </c>
      <c r="E78" s="4">
        <f t="shared" si="16"/>
        <v>2.2222222222222219</v>
      </c>
      <c r="F78" s="4">
        <f t="shared" si="17"/>
        <v>6.1954166666666604</v>
      </c>
      <c r="G78" s="3">
        <f t="shared" si="22"/>
        <v>354.97152715663054</v>
      </c>
      <c r="H78" s="2">
        <f t="shared" si="18"/>
        <v>0.98974665731714118</v>
      </c>
      <c r="I78" s="2">
        <f t="shared" si="19"/>
        <v>-0.1428340097089815</v>
      </c>
      <c r="J78" s="4">
        <f t="shared" si="20"/>
        <v>-7.5769342826194547E-2</v>
      </c>
      <c r="K78" s="4">
        <f t="shared" si="21"/>
        <v>0.34196056026371979</v>
      </c>
    </row>
    <row r="79" spans="1:11" x14ac:dyDescent="0.45">
      <c r="A79" s="1">
        <v>3.85</v>
      </c>
      <c r="B79" s="37">
        <v>-0.03</v>
      </c>
      <c r="C79" s="37">
        <v>-0.35</v>
      </c>
      <c r="D79" s="1">
        <f t="shared" si="15"/>
        <v>-0.19</v>
      </c>
      <c r="E79" s="4">
        <f t="shared" si="16"/>
        <v>2.2222222222222219</v>
      </c>
      <c r="F79" s="4">
        <f t="shared" si="17"/>
        <v>6.3065277777777711</v>
      </c>
      <c r="G79" s="3">
        <f t="shared" si="22"/>
        <v>361.33773025760803</v>
      </c>
      <c r="H79" s="2">
        <f t="shared" si="18"/>
        <v>0.99948120344328284</v>
      </c>
      <c r="I79" s="2">
        <f t="shared" si="19"/>
        <v>-3.2207514085491308E-2</v>
      </c>
      <c r="J79" s="4">
        <f t="shared" si="20"/>
        <v>-8.5264414258905741E-2</v>
      </c>
      <c r="K79" s="4">
        <f t="shared" si="21"/>
        <v>0.34226653164753196</v>
      </c>
    </row>
    <row r="80" spans="1:11" x14ac:dyDescent="0.45">
      <c r="A80" s="1">
        <v>3.9</v>
      </c>
      <c r="B80" s="37">
        <v>-0.03</v>
      </c>
      <c r="C80" s="37">
        <v>-0.35</v>
      </c>
      <c r="D80" s="1">
        <f t="shared" si="15"/>
        <v>-0.19</v>
      </c>
      <c r="E80" s="4">
        <f t="shared" si="16"/>
        <v>2.2222222222222219</v>
      </c>
      <c r="F80" s="4">
        <f t="shared" si="17"/>
        <v>6.4176388888888818</v>
      </c>
      <c r="G80" s="3">
        <f t="shared" si="22"/>
        <v>367.70393335858557</v>
      </c>
      <c r="H80" s="2">
        <f t="shared" si="18"/>
        <v>0.99688916495628244</v>
      </c>
      <c r="I80" s="2">
        <f t="shared" si="19"/>
        <v>7.8816196259182264E-2</v>
      </c>
      <c r="J80" s="4">
        <f t="shared" si="20"/>
        <v>-9.4734861325990433E-2</v>
      </c>
      <c r="K80" s="4">
        <f t="shared" si="21"/>
        <v>0.34151777778306974</v>
      </c>
    </row>
    <row r="81" spans="1:11" x14ac:dyDescent="0.45">
      <c r="A81" s="1">
        <v>3.95</v>
      </c>
      <c r="B81" s="37">
        <v>-0.03</v>
      </c>
      <c r="C81" s="37">
        <v>-0.35</v>
      </c>
      <c r="D81" s="1">
        <f t="shared" si="15"/>
        <v>-0.19</v>
      </c>
      <c r="E81" s="4">
        <f t="shared" si="16"/>
        <v>2.2222222222222219</v>
      </c>
      <c r="F81" s="4">
        <f t="shared" si="17"/>
        <v>6.5287499999999925</v>
      </c>
      <c r="G81" s="3">
        <f t="shared" si="22"/>
        <v>374.07013645956306</v>
      </c>
      <c r="H81" s="2">
        <f t="shared" si="18"/>
        <v>0.98200250942253398</v>
      </c>
      <c r="I81" s="2">
        <f t="shared" si="19"/>
        <v>0.18886786780139733</v>
      </c>
      <c r="J81" s="4">
        <f t="shared" si="20"/>
        <v>-0.10406388516550451</v>
      </c>
      <c r="K81" s="4">
        <f t="shared" si="21"/>
        <v>0.33972353303895647</v>
      </c>
    </row>
    <row r="82" spans="1:11" x14ac:dyDescent="0.45">
      <c r="A82" s="1">
        <v>4</v>
      </c>
      <c r="B82" s="37">
        <v>-0.03</v>
      </c>
      <c r="C82" s="37">
        <v>-0.35</v>
      </c>
      <c r="D82" s="1">
        <f t="shared" si="15"/>
        <v>-0.19</v>
      </c>
      <c r="E82" s="4">
        <f t="shared" si="16"/>
        <v>2.2222222222222219</v>
      </c>
      <c r="F82" s="4">
        <f t="shared" si="17"/>
        <v>6.6398611111111032</v>
      </c>
      <c r="G82" s="3">
        <f t="shared" si="22"/>
        <v>380.43633956054055</v>
      </c>
      <c r="H82" s="2">
        <f t="shared" si="18"/>
        <v>0.95500483371050404</v>
      </c>
      <c r="I82" s="2">
        <f t="shared" si="19"/>
        <v>0.2965902351554624</v>
      </c>
      <c r="J82" s="4">
        <f t="shared" si="20"/>
        <v>-0.1131364310857543</v>
      </c>
      <c r="K82" s="4">
        <f t="shared" si="21"/>
        <v>0.33690592580497958</v>
      </c>
    </row>
    <row r="83" spans="1:11" x14ac:dyDescent="0.45">
      <c r="A83" s="1">
        <v>4.05</v>
      </c>
      <c r="B83" s="37">
        <v>-0.03</v>
      </c>
      <c r="C83" s="37">
        <v>-0.35</v>
      </c>
      <c r="D83" s="1">
        <f t="shared" si="15"/>
        <v>-0.19</v>
      </c>
      <c r="E83" s="4">
        <f t="shared" si="16"/>
        <v>2.2222222222222219</v>
      </c>
      <c r="F83" s="4">
        <f t="shared" si="17"/>
        <v>6.7509722222222139</v>
      </c>
      <c r="G83" s="3">
        <f t="shared" si="22"/>
        <v>386.80254266151809</v>
      </c>
      <c r="H83" s="2">
        <f t="shared" si="18"/>
        <v>0.91622909969368871</v>
      </c>
      <c r="I83" s="2">
        <f t="shared" si="19"/>
        <v>0.40065476020445906</v>
      </c>
      <c r="J83" s="4">
        <f t="shared" si="20"/>
        <v>-0.12184060753284434</v>
      </c>
      <c r="K83" s="4">
        <f t="shared" si="21"/>
        <v>0.3330997055830372</v>
      </c>
    </row>
    <row r="84" spans="1:11" x14ac:dyDescent="0.45">
      <c r="A84" s="1">
        <v>4.0999999999999996</v>
      </c>
      <c r="B84" s="37">
        <v>-0.03</v>
      </c>
      <c r="C84" s="37">
        <v>-0.35</v>
      </c>
      <c r="D84" s="1">
        <f t="shared" si="15"/>
        <v>-0.19</v>
      </c>
      <c r="E84" s="4">
        <f t="shared" si="16"/>
        <v>2.2222222222222219</v>
      </c>
      <c r="F84" s="4">
        <f t="shared" si="17"/>
        <v>6.8620833333333247</v>
      </c>
      <c r="G84" s="3">
        <f t="shared" si="22"/>
        <v>393.16874576249558</v>
      </c>
      <c r="H84" s="2">
        <f t="shared" si="18"/>
        <v>0.86615352783751376</v>
      </c>
      <c r="I84" s="2">
        <f t="shared" si="19"/>
        <v>0.49977801693814961</v>
      </c>
      <c r="J84" s="4">
        <f t="shared" si="20"/>
        <v>-0.13006906604730073</v>
      </c>
      <c r="K84" s="4">
        <f t="shared" si="21"/>
        <v>0.3283518144221248</v>
      </c>
    </row>
    <row r="85" spans="1:11" x14ac:dyDescent="0.45">
      <c r="A85" s="1">
        <v>4.1500000000000004</v>
      </c>
      <c r="B85" s="37">
        <v>-0.03</v>
      </c>
      <c r="C85" s="37">
        <v>-0.35</v>
      </c>
      <c r="D85" s="1">
        <f t="shared" si="15"/>
        <v>-0.19</v>
      </c>
      <c r="E85" s="4">
        <f t="shared" si="16"/>
        <v>2.2222222222222219</v>
      </c>
      <c r="F85" s="4">
        <f t="shared" si="17"/>
        <v>6.9731944444444354</v>
      </c>
      <c r="G85" s="3">
        <f t="shared" si="22"/>
        <v>399.53494886347306</v>
      </c>
      <c r="H85" s="2">
        <f t="shared" si="18"/>
        <v>0.8053956993145015</v>
      </c>
      <c r="I85" s="2">
        <f t="shared" si="19"/>
        <v>0.59273751992404289</v>
      </c>
      <c r="J85" s="4">
        <f t="shared" si="20"/>
        <v>-0.1377203251907885</v>
      </c>
      <c r="K85" s="4">
        <f t="shared" si="21"/>
        <v>0.32272080798284641</v>
      </c>
    </row>
    <row r="86" spans="1:11" x14ac:dyDescent="0.45">
      <c r="A86" s="1">
        <v>4.2</v>
      </c>
      <c r="B86" s="37">
        <v>-0.03</v>
      </c>
      <c r="C86" s="37">
        <v>-0.35</v>
      </c>
      <c r="D86" s="1">
        <f t="shared" si="15"/>
        <v>-0.19</v>
      </c>
      <c r="E86" s="4">
        <f t="shared" si="16"/>
        <v>2.2222222222222219</v>
      </c>
      <c r="F86" s="4">
        <f t="shared" si="17"/>
        <v>7.0843055555555461</v>
      </c>
      <c r="G86" s="3">
        <f t="shared" si="22"/>
        <v>405.90115196445061</v>
      </c>
      <c r="H86" s="2">
        <f t="shared" si="18"/>
        <v>0.73470493938621717</v>
      </c>
      <c r="I86" s="2">
        <f t="shared" si="19"/>
        <v>0.67838680119935624</v>
      </c>
      <c r="J86" s="4">
        <f t="shared" si="20"/>
        <v>-0.14470002211495755</v>
      </c>
      <c r="K86" s="4">
        <f t="shared" si="21"/>
        <v>0.31627613337145255</v>
      </c>
    </row>
    <row r="87" spans="1:11" x14ac:dyDescent="0.45">
      <c r="A87" s="1">
        <v>4.25</v>
      </c>
      <c r="B87" s="37">
        <v>-0.03</v>
      </c>
      <c r="C87" s="37">
        <v>-0.35</v>
      </c>
      <c r="D87" s="1">
        <f t="shared" si="15"/>
        <v>-0.19</v>
      </c>
      <c r="E87" s="4">
        <f t="shared" si="16"/>
        <v>2.2222222222222219</v>
      </c>
      <c r="F87" s="4">
        <f t="shared" si="17"/>
        <v>7.1954166666666568</v>
      </c>
      <c r="G87" s="3">
        <f t="shared" si="22"/>
        <v>412.26735506542809</v>
      </c>
      <c r="H87" s="2">
        <f t="shared" si="18"/>
        <v>0.65495307598761487</v>
      </c>
      <c r="I87" s="2">
        <f t="shared" si="19"/>
        <v>0.75566954964082123</v>
      </c>
      <c r="J87" s="4">
        <f t="shared" si="20"/>
        <v>-0.15092207633683991</v>
      </c>
      <c r="K87" s="4">
        <f t="shared" si="21"/>
        <v>0.30909727264986475</v>
      </c>
    </row>
    <row r="88" spans="1:11" x14ac:dyDescent="0.45">
      <c r="A88" s="1">
        <v>4.3</v>
      </c>
      <c r="B88" s="37">
        <v>-0.03</v>
      </c>
      <c r="C88" s="37">
        <v>-0.35</v>
      </c>
      <c r="D88" s="1">
        <f t="shared" si="15"/>
        <v>-0.19</v>
      </c>
      <c r="E88" s="4">
        <f t="shared" si="16"/>
        <v>2.2222222222222219</v>
      </c>
      <c r="F88" s="4">
        <f t="shared" si="17"/>
        <v>7.3065277777777675</v>
      </c>
      <c r="G88" s="3">
        <f t="shared" si="22"/>
        <v>418.63355816640558</v>
      </c>
      <c r="H88" s="2">
        <f t="shared" si="18"/>
        <v>0.56712368748800446</v>
      </c>
      <c r="I88" s="2">
        <f t="shared" si="19"/>
        <v>0.82363263843172718</v>
      </c>
      <c r="J88" s="4">
        <f t="shared" si="20"/>
        <v>-0.15630975136797595</v>
      </c>
      <c r="K88" s="4">
        <f t="shared" si="21"/>
        <v>0.30127276258476332</v>
      </c>
    </row>
    <row r="89" spans="1:11" x14ac:dyDescent="0.45">
      <c r="A89" s="1">
        <v>4.3499999999999996</v>
      </c>
      <c r="B89" s="37">
        <v>-0.03</v>
      </c>
      <c r="C89" s="37">
        <v>-0.35</v>
      </c>
      <c r="D89" s="1">
        <f t="shared" si="15"/>
        <v>-0.19</v>
      </c>
      <c r="E89" s="4">
        <f t="shared" si="16"/>
        <v>2.2222222222222219</v>
      </c>
      <c r="F89" s="4">
        <f t="shared" si="17"/>
        <v>7.4176388888888782</v>
      </c>
      <c r="G89" s="3">
        <f t="shared" si="22"/>
        <v>424.99976126738312</v>
      </c>
      <c r="H89" s="2">
        <f t="shared" si="18"/>
        <v>0.47229997223582026</v>
      </c>
      <c r="I89" s="2">
        <f t="shared" si="19"/>
        <v>0.88143787995867495</v>
      </c>
      <c r="J89" s="4">
        <f t="shared" si="20"/>
        <v>-0.16079660110421626</v>
      </c>
      <c r="K89" s="4">
        <f t="shared" si="21"/>
        <v>0.2928991027251559</v>
      </c>
    </row>
    <row r="90" spans="1:11" x14ac:dyDescent="0.45">
      <c r="A90" s="1">
        <v>4.4000000000000004</v>
      </c>
      <c r="B90" s="37">
        <v>-0.03</v>
      </c>
      <c r="C90" s="37">
        <v>-0.35</v>
      </c>
      <c r="D90" s="1">
        <f t="shared" si="15"/>
        <v>-0.19</v>
      </c>
      <c r="E90" s="4">
        <f t="shared" si="16"/>
        <v>2.2222222222222219</v>
      </c>
      <c r="F90" s="4">
        <f t="shared" si="17"/>
        <v>7.528749999999989</v>
      </c>
      <c r="G90" s="3">
        <f t="shared" si="22"/>
        <v>431.36596436836061</v>
      </c>
      <c r="H90" s="2">
        <f t="shared" si="18"/>
        <v>0.37165138949188858</v>
      </c>
      <c r="I90" s="2">
        <f t="shared" si="19"/>
        <v>0.92837236316509797</v>
      </c>
      <c r="J90" s="4">
        <f t="shared" si="20"/>
        <v>-0.1643272893043892</v>
      </c>
      <c r="K90" s="4">
        <f t="shared" si="21"/>
        <v>0.28407956527508749</v>
      </c>
    </row>
    <row r="91" spans="1:11" x14ac:dyDescent="0.45">
      <c r="A91" s="1">
        <v>4.45</v>
      </c>
      <c r="B91" s="37">
        <v>-0.03</v>
      </c>
      <c r="C91" s="37">
        <v>-0.35</v>
      </c>
      <c r="D91" s="1">
        <f t="shared" si="15"/>
        <v>-0.19</v>
      </c>
      <c r="E91" s="4">
        <f t="shared" si="16"/>
        <v>2.2222222222222219</v>
      </c>
      <c r="F91" s="4">
        <f t="shared" si="17"/>
        <v>7.6398611111110997</v>
      </c>
      <c r="G91" s="3">
        <f t="shared" si="22"/>
        <v>437.73216746933815</v>
      </c>
      <c r="H91" s="2">
        <f t="shared" si="18"/>
        <v>0.26641923650833554</v>
      </c>
      <c r="I91" s="2">
        <f t="shared" si="19"/>
        <v>0.96385724587114852</v>
      </c>
      <c r="J91" s="4">
        <f t="shared" si="20"/>
        <v>-0.16685827205121839</v>
      </c>
      <c r="K91" s="4">
        <f t="shared" si="21"/>
        <v>0.27492292143931157</v>
      </c>
    </row>
    <row r="92" spans="1:11" x14ac:dyDescent="0.45">
      <c r="A92" s="1">
        <v>4.5</v>
      </c>
      <c r="B92" s="37">
        <v>-0.03</v>
      </c>
      <c r="C92" s="37">
        <v>-0.35</v>
      </c>
      <c r="D92" s="1">
        <f t="shared" si="15"/>
        <v>-0.19</v>
      </c>
      <c r="E92" s="4">
        <f t="shared" si="16"/>
        <v>2.2222222222222219</v>
      </c>
      <c r="F92" s="4">
        <f t="shared" si="17"/>
        <v>7.7509722222222104</v>
      </c>
      <c r="G92" s="3">
        <f t="shared" si="22"/>
        <v>444.09837057031564</v>
      </c>
      <c r="H92" s="2">
        <f t="shared" si="18"/>
        <v>0.15790133963077541</v>
      </c>
      <c r="I92" s="2">
        <f t="shared" si="19"/>
        <v>0.98745489362441585</v>
      </c>
      <c r="J92" s="4">
        <f t="shared" si="20"/>
        <v>-0.16835833477771076</v>
      </c>
      <c r="K92" s="4">
        <f t="shared" si="21"/>
        <v>0.2655420999498796</v>
      </c>
    </row>
    <row r="93" spans="1:11" x14ac:dyDescent="0.45">
      <c r="A93" s="1">
        <v>4.55</v>
      </c>
      <c r="B93" s="37">
        <v>-0.03</v>
      </c>
      <c r="C93" s="37">
        <v>-0.35</v>
      </c>
      <c r="D93" s="1">
        <f t="shared" ref="D93:D127" si="23">(B93+C93)/2</f>
        <v>-0.19</v>
      </c>
      <c r="E93" s="4">
        <f t="shared" ref="E93:E127" si="24">(B93-C93)/P$3</f>
        <v>2.2222222222222219</v>
      </c>
      <c r="F93" s="4">
        <f t="shared" ref="F93:F127" si="25">F92+E93*N$3</f>
        <v>7.8620833333333211</v>
      </c>
      <c r="G93" s="3">
        <f t="shared" si="22"/>
        <v>450.46457367129318</v>
      </c>
      <c r="H93" s="2">
        <f t="shared" ref="H93:H127" si="26">COS((F93+F92)/2)</f>
        <v>4.7436048228153845E-2</v>
      </c>
      <c r="I93" s="2">
        <f t="shared" ref="I93:I127" si="27">SIN((F93+F92)/2)</f>
        <v>0.99887427703815468</v>
      </c>
      <c r="J93" s="4">
        <f t="shared" ref="J93:J127" si="28">J92+D93*N$3*H93</f>
        <v>-0.1688089772358782</v>
      </c>
      <c r="K93" s="4">
        <f t="shared" ref="K93:K127" si="29">K92+D93*N$3*I93</f>
        <v>0.25605279431801714</v>
      </c>
    </row>
    <row r="94" spans="1:11" x14ac:dyDescent="0.45">
      <c r="A94" s="1">
        <v>4.5999999999999996</v>
      </c>
      <c r="B94" s="37">
        <v>-0.03</v>
      </c>
      <c r="C94" s="37">
        <v>-0.35</v>
      </c>
      <c r="D94" s="1">
        <f t="shared" si="23"/>
        <v>-0.19</v>
      </c>
      <c r="E94" s="4">
        <f t="shared" si="24"/>
        <v>2.2222222222222219</v>
      </c>
      <c r="F94" s="4">
        <f t="shared" si="25"/>
        <v>7.9731944444444318</v>
      </c>
      <c r="G94" s="3">
        <f t="shared" si="22"/>
        <v>456.83077677227067</v>
      </c>
      <c r="H94" s="2">
        <f t="shared" si="26"/>
        <v>-6.3614271147162962E-2</v>
      </c>
      <c r="I94" s="2">
        <f t="shared" si="27"/>
        <v>0.99797456105174109</v>
      </c>
      <c r="J94" s="4">
        <f t="shared" si="28"/>
        <v>-0.16820464165998017</v>
      </c>
      <c r="K94" s="4">
        <f t="shared" si="29"/>
        <v>0.2465720359880256</v>
      </c>
    </row>
    <row r="95" spans="1:11" x14ac:dyDescent="0.45">
      <c r="A95" s="1">
        <v>4.6500000000000004</v>
      </c>
      <c r="B95" s="37">
        <v>-0.03</v>
      </c>
      <c r="C95" s="37">
        <v>-0.35</v>
      </c>
      <c r="D95" s="1">
        <f t="shared" si="23"/>
        <v>-0.19</v>
      </c>
      <c r="E95" s="4">
        <f t="shared" si="24"/>
        <v>2.2222222222222219</v>
      </c>
      <c r="F95" s="4">
        <f t="shared" si="25"/>
        <v>8.0843055555555434</v>
      </c>
      <c r="G95" s="3">
        <f t="shared" si="22"/>
        <v>463.19697987324827</v>
      </c>
      <c r="H95" s="2">
        <f t="shared" si="26"/>
        <v>-0.17388003680281344</v>
      </c>
      <c r="I95" s="2">
        <f t="shared" si="27"/>
        <v>0.98476684184707008</v>
      </c>
      <c r="J95" s="4">
        <f t="shared" si="28"/>
        <v>-0.16655278131035345</v>
      </c>
      <c r="K95" s="4">
        <f t="shared" si="29"/>
        <v>0.23721675099047843</v>
      </c>
    </row>
    <row r="96" spans="1:11" x14ac:dyDescent="0.45">
      <c r="A96" s="1">
        <v>4.7</v>
      </c>
      <c r="B96" s="37">
        <v>-0.03</v>
      </c>
      <c r="C96" s="37">
        <v>-0.35</v>
      </c>
      <c r="D96" s="1">
        <f t="shared" si="23"/>
        <v>-0.19</v>
      </c>
      <c r="E96" s="4">
        <f t="shared" si="24"/>
        <v>2.2222222222222219</v>
      </c>
      <c r="F96" s="4">
        <f t="shared" si="25"/>
        <v>8.1954166666666541</v>
      </c>
      <c r="G96" s="3">
        <f t="shared" si="22"/>
        <v>469.5631829742257</v>
      </c>
      <c r="H96" s="2">
        <f t="shared" si="26"/>
        <v>-0.28200134293405965</v>
      </c>
      <c r="I96" s="2">
        <f t="shared" si="27"/>
        <v>0.95941400999953452</v>
      </c>
      <c r="J96" s="4">
        <f t="shared" si="28"/>
        <v>-0.16387376855247987</v>
      </c>
      <c r="K96" s="4">
        <f t="shared" si="29"/>
        <v>0.22810231789548285</v>
      </c>
    </row>
    <row r="97" spans="1:11" x14ac:dyDescent="0.45">
      <c r="A97" s="1">
        <v>4.7500000000000098</v>
      </c>
      <c r="B97" s="37">
        <v>-0.03</v>
      </c>
      <c r="C97" s="37">
        <v>-0.35</v>
      </c>
      <c r="D97" s="1">
        <f t="shared" si="23"/>
        <v>-0.19</v>
      </c>
      <c r="E97" s="4">
        <f t="shared" si="24"/>
        <v>2.2222222222222219</v>
      </c>
      <c r="F97" s="4">
        <f t="shared" si="25"/>
        <v>8.3065277777777649</v>
      </c>
      <c r="G97" s="3">
        <f t="shared" si="22"/>
        <v>475.92938607520324</v>
      </c>
      <c r="H97" s="2">
        <f t="shared" si="26"/>
        <v>-0.38664473131885813</v>
      </c>
      <c r="I97" s="2">
        <f t="shared" si="27"/>
        <v>0.92222874155133983</v>
      </c>
      <c r="J97" s="4">
        <f t="shared" si="28"/>
        <v>-0.1602006436049507</v>
      </c>
      <c r="K97" s="4">
        <f t="shared" si="29"/>
        <v>0.21934114485074513</v>
      </c>
    </row>
    <row r="98" spans="1:11" x14ac:dyDescent="0.45">
      <c r="A98" s="1">
        <v>4.8000000000000096</v>
      </c>
      <c r="B98" s="1">
        <v>-0.03</v>
      </c>
      <c r="C98" s="1">
        <v>-0.3</v>
      </c>
      <c r="D98" s="1">
        <f t="shared" si="23"/>
        <v>-0.16499999999999998</v>
      </c>
      <c r="E98" s="4">
        <f t="shared" si="24"/>
        <v>1.8750000000000002</v>
      </c>
      <c r="F98" s="4">
        <f t="shared" si="25"/>
        <v>8.4002777777777649</v>
      </c>
      <c r="G98" s="3">
        <f t="shared" si="22"/>
        <v>481.30086994165305</v>
      </c>
      <c r="H98" s="2">
        <f t="shared" si="26"/>
        <v>-0.47891746420685699</v>
      </c>
      <c r="I98" s="2">
        <f t="shared" si="27"/>
        <v>0.8778599332909971</v>
      </c>
      <c r="J98" s="4">
        <f t="shared" si="28"/>
        <v>-0.15624957452524413</v>
      </c>
      <c r="K98" s="4">
        <f t="shared" si="29"/>
        <v>0.21209880040109441</v>
      </c>
    </row>
    <row r="99" spans="1:11" x14ac:dyDescent="0.45">
      <c r="A99" s="1">
        <v>4.8499999999999996</v>
      </c>
      <c r="B99" s="1">
        <v>-0.03</v>
      </c>
      <c r="C99" s="1">
        <v>-0.2</v>
      </c>
      <c r="D99" s="1">
        <f t="shared" si="23"/>
        <v>-0.115</v>
      </c>
      <c r="E99" s="4">
        <f t="shared" si="24"/>
        <v>1.1805555555555558</v>
      </c>
      <c r="F99" s="4">
        <f t="shared" si="25"/>
        <v>8.4593055555555434</v>
      </c>
      <c r="G99" s="3">
        <f t="shared" si="22"/>
        <v>484.68291533904744</v>
      </c>
      <c r="H99" s="2">
        <f t="shared" si="26"/>
        <v>-0.54451438538988772</v>
      </c>
      <c r="I99" s="2">
        <f t="shared" si="27"/>
        <v>0.83875150318999303</v>
      </c>
      <c r="J99" s="4">
        <f t="shared" si="28"/>
        <v>-0.15311861680925226</v>
      </c>
      <c r="K99" s="4">
        <f t="shared" si="29"/>
        <v>0.20727597925775196</v>
      </c>
    </row>
    <row r="100" spans="1:11" x14ac:dyDescent="0.45">
      <c r="A100" s="1">
        <v>4.9000000000000101</v>
      </c>
      <c r="B100" s="1">
        <v>-0.03</v>
      </c>
      <c r="C100" s="1">
        <v>0.16</v>
      </c>
      <c r="D100" s="1">
        <f t="shared" si="23"/>
        <v>6.5000000000000002E-2</v>
      </c>
      <c r="E100" s="4">
        <f t="shared" si="24"/>
        <v>-1.3194444444444446</v>
      </c>
      <c r="F100" s="4">
        <f t="shared" si="25"/>
        <v>8.393333333333322</v>
      </c>
      <c r="G100" s="3">
        <f t="shared" si="22"/>
        <v>480.90298224784203</v>
      </c>
      <c r="H100" s="2">
        <f t="shared" si="26"/>
        <v>-0.54159877721510097</v>
      </c>
      <c r="I100" s="2">
        <f t="shared" si="27"/>
        <v>0.84063711821398146</v>
      </c>
      <c r="J100" s="4">
        <f t="shared" si="28"/>
        <v>-0.15487881283520133</v>
      </c>
      <c r="K100" s="4">
        <f t="shared" si="29"/>
        <v>0.21000804989194741</v>
      </c>
    </row>
    <row r="101" spans="1:11" x14ac:dyDescent="0.45">
      <c r="A101" s="1">
        <v>4.9500000000000099</v>
      </c>
      <c r="B101" s="1">
        <v>-0.03</v>
      </c>
      <c r="C101" s="1">
        <v>-0.13</v>
      </c>
      <c r="D101" s="1">
        <f t="shared" si="23"/>
        <v>-0.08</v>
      </c>
      <c r="E101" s="4">
        <f t="shared" si="24"/>
        <v>0.69444444444444453</v>
      </c>
      <c r="F101" s="4">
        <f t="shared" si="25"/>
        <v>8.4280555555555434</v>
      </c>
      <c r="G101" s="3">
        <f t="shared" si="22"/>
        <v>482.8924207168975</v>
      </c>
      <c r="H101" s="2">
        <f t="shared" si="26"/>
        <v>-0.52839824491224918</v>
      </c>
      <c r="I101" s="2">
        <f t="shared" si="27"/>
        <v>0.84899664002495012</v>
      </c>
      <c r="J101" s="4">
        <f t="shared" si="28"/>
        <v>-0.15276521985555233</v>
      </c>
      <c r="K101" s="4">
        <f t="shared" si="29"/>
        <v>0.20661206333184762</v>
      </c>
    </row>
    <row r="102" spans="1:11" x14ac:dyDescent="0.45">
      <c r="A102" s="1">
        <v>5.0000000000000098</v>
      </c>
      <c r="B102" s="1">
        <v>-0.03</v>
      </c>
      <c r="C102" s="1">
        <v>-0.1</v>
      </c>
      <c r="D102" s="1">
        <f t="shared" si="23"/>
        <v>-6.5000000000000002E-2</v>
      </c>
      <c r="E102" s="4">
        <f t="shared" si="24"/>
        <v>0.48611111111111122</v>
      </c>
      <c r="F102" s="4">
        <f t="shared" si="25"/>
        <v>8.4523611111110988</v>
      </c>
      <c r="G102" s="3">
        <f t="shared" si="22"/>
        <v>484.28502764523626</v>
      </c>
      <c r="H102" s="2">
        <f t="shared" si="26"/>
        <v>-0.55322168068257904</v>
      </c>
      <c r="I102" s="2">
        <f t="shared" si="27"/>
        <v>0.83303407614739422</v>
      </c>
      <c r="J102" s="4">
        <f t="shared" si="28"/>
        <v>-0.15096724939333395</v>
      </c>
      <c r="K102" s="4">
        <f t="shared" si="29"/>
        <v>0.20390470258436857</v>
      </c>
    </row>
    <row r="103" spans="1:11" x14ac:dyDescent="0.45">
      <c r="A103" s="1">
        <v>5.0500000000000096</v>
      </c>
      <c r="B103" s="35">
        <v>-0.2</v>
      </c>
      <c r="C103" s="35">
        <v>-0.2</v>
      </c>
      <c r="D103" s="1">
        <f t="shared" si="23"/>
        <v>-0.2</v>
      </c>
      <c r="E103" s="4">
        <f t="shared" si="24"/>
        <v>0</v>
      </c>
      <c r="F103" s="4">
        <f t="shared" si="25"/>
        <v>8.4523611111110988</v>
      </c>
      <c r="G103" s="3">
        <f t="shared" si="22"/>
        <v>484.28502764523626</v>
      </c>
      <c r="H103" s="2">
        <f t="shared" si="26"/>
        <v>-0.56330425734445566</v>
      </c>
      <c r="I103" s="2">
        <f t="shared" si="27"/>
        <v>0.82624954684260576</v>
      </c>
      <c r="J103" s="4">
        <f t="shared" si="28"/>
        <v>-0.1453342068198894</v>
      </c>
      <c r="K103" s="4">
        <f t="shared" si="29"/>
        <v>0.19564220711594252</v>
      </c>
    </row>
    <row r="104" spans="1:11" x14ac:dyDescent="0.45">
      <c r="A104" s="1">
        <v>5.1000000000000103</v>
      </c>
      <c r="B104" s="35">
        <v>-0.2</v>
      </c>
      <c r="C104" s="35">
        <v>-0.2</v>
      </c>
      <c r="D104" s="1">
        <f t="shared" si="23"/>
        <v>-0.2</v>
      </c>
      <c r="E104" s="4">
        <f t="shared" si="24"/>
        <v>0</v>
      </c>
      <c r="F104" s="4">
        <f t="shared" si="25"/>
        <v>8.4523611111110988</v>
      </c>
      <c r="G104" s="3">
        <f t="shared" si="22"/>
        <v>484.28502764523626</v>
      </c>
      <c r="H104" s="2">
        <f t="shared" si="26"/>
        <v>-0.56330425734445566</v>
      </c>
      <c r="I104" s="2">
        <f t="shared" si="27"/>
        <v>0.82624954684260576</v>
      </c>
      <c r="J104" s="4">
        <f t="shared" si="28"/>
        <v>-0.13970116424644485</v>
      </c>
      <c r="K104" s="4">
        <f t="shared" si="29"/>
        <v>0.18737971164751646</v>
      </c>
    </row>
    <row r="105" spans="1:11" x14ac:dyDescent="0.45">
      <c r="A105" s="1">
        <v>5.1500000000000101</v>
      </c>
      <c r="B105" s="35">
        <v>-0.2</v>
      </c>
      <c r="C105" s="35">
        <v>-0.2</v>
      </c>
      <c r="D105" s="1">
        <f t="shared" si="23"/>
        <v>-0.2</v>
      </c>
      <c r="E105" s="4">
        <f t="shared" si="24"/>
        <v>0</v>
      </c>
      <c r="F105" s="4">
        <f t="shared" si="25"/>
        <v>8.4523611111110988</v>
      </c>
      <c r="G105" s="3">
        <f t="shared" si="22"/>
        <v>484.28502764523626</v>
      </c>
      <c r="H105" s="2">
        <f t="shared" si="26"/>
        <v>-0.56330425734445566</v>
      </c>
      <c r="I105" s="2">
        <f t="shared" si="27"/>
        <v>0.82624954684260576</v>
      </c>
      <c r="J105" s="4">
        <f t="shared" si="28"/>
        <v>-0.13406812167300031</v>
      </c>
      <c r="K105" s="4">
        <f t="shared" si="29"/>
        <v>0.1791172161790904</v>
      </c>
    </row>
    <row r="106" spans="1:11" x14ac:dyDescent="0.45">
      <c r="A106" s="1">
        <v>5.2000000000000099</v>
      </c>
      <c r="B106" s="35">
        <v>-0.2</v>
      </c>
      <c r="C106" s="35">
        <v>-0.2</v>
      </c>
      <c r="D106" s="1">
        <f t="shared" si="23"/>
        <v>-0.2</v>
      </c>
      <c r="E106" s="4">
        <f t="shared" si="24"/>
        <v>0</v>
      </c>
      <c r="F106" s="4">
        <f t="shared" si="25"/>
        <v>8.4523611111110988</v>
      </c>
      <c r="G106" s="3">
        <f t="shared" si="22"/>
        <v>484.28502764523626</v>
      </c>
      <c r="H106" s="2">
        <f t="shared" si="26"/>
        <v>-0.56330425734445566</v>
      </c>
      <c r="I106" s="2">
        <f t="shared" si="27"/>
        <v>0.82624954684260576</v>
      </c>
      <c r="J106" s="4">
        <f t="shared" si="28"/>
        <v>-0.12843507909955576</v>
      </c>
      <c r="K106" s="4">
        <f t="shared" si="29"/>
        <v>0.17085472071066435</v>
      </c>
    </row>
    <row r="107" spans="1:11" x14ac:dyDescent="0.45">
      <c r="A107" s="1">
        <v>5.2500000000000098</v>
      </c>
      <c r="B107" s="35">
        <v>-0.2</v>
      </c>
      <c r="C107" s="35">
        <v>-0.2</v>
      </c>
      <c r="D107" s="1">
        <f t="shared" si="23"/>
        <v>-0.2</v>
      </c>
      <c r="E107" s="4">
        <f t="shared" si="24"/>
        <v>0</v>
      </c>
      <c r="F107" s="4">
        <f t="shared" si="25"/>
        <v>8.4523611111110988</v>
      </c>
      <c r="G107" s="3">
        <f t="shared" si="22"/>
        <v>484.28502764523626</v>
      </c>
      <c r="H107" s="2">
        <f t="shared" si="26"/>
        <v>-0.56330425734445566</v>
      </c>
      <c r="I107" s="2">
        <f t="shared" si="27"/>
        <v>0.82624954684260576</v>
      </c>
      <c r="J107" s="4">
        <f t="shared" si="28"/>
        <v>-0.1228020365261112</v>
      </c>
      <c r="K107" s="4">
        <f t="shared" si="29"/>
        <v>0.16259222524223829</v>
      </c>
    </row>
    <row r="108" spans="1:11" x14ac:dyDescent="0.45">
      <c r="A108" s="1">
        <v>5.3000000000000096</v>
      </c>
      <c r="B108" s="35">
        <v>-0.2</v>
      </c>
      <c r="C108" s="35">
        <v>-0.2</v>
      </c>
      <c r="D108" s="1">
        <f t="shared" si="23"/>
        <v>-0.2</v>
      </c>
      <c r="E108" s="4">
        <f t="shared" si="24"/>
        <v>0</v>
      </c>
      <c r="F108" s="4">
        <f t="shared" si="25"/>
        <v>8.4523611111110988</v>
      </c>
      <c r="G108" s="3">
        <f t="shared" si="22"/>
        <v>484.28502764523626</v>
      </c>
      <c r="H108" s="2">
        <f t="shared" si="26"/>
        <v>-0.56330425734445566</v>
      </c>
      <c r="I108" s="2">
        <f t="shared" si="27"/>
        <v>0.82624954684260576</v>
      </c>
      <c r="J108" s="4">
        <f t="shared" si="28"/>
        <v>-0.11716899395266664</v>
      </c>
      <c r="K108" s="4">
        <f t="shared" si="29"/>
        <v>0.15432972977381224</v>
      </c>
    </row>
    <row r="109" spans="1:11" x14ac:dyDescent="0.45">
      <c r="A109" s="1">
        <v>5.3500000000000103</v>
      </c>
      <c r="B109" s="35">
        <v>-0.2</v>
      </c>
      <c r="C109" s="35">
        <v>-0.2</v>
      </c>
      <c r="D109" s="1">
        <f t="shared" si="23"/>
        <v>-0.2</v>
      </c>
      <c r="E109" s="4">
        <f t="shared" si="24"/>
        <v>0</v>
      </c>
      <c r="F109" s="4">
        <f t="shared" si="25"/>
        <v>8.4523611111110988</v>
      </c>
      <c r="G109" s="3">
        <f t="shared" si="22"/>
        <v>484.28502764523626</v>
      </c>
      <c r="H109" s="2">
        <f t="shared" si="26"/>
        <v>-0.56330425734445566</v>
      </c>
      <c r="I109" s="2">
        <f t="shared" si="27"/>
        <v>0.82624954684260576</v>
      </c>
      <c r="J109" s="4">
        <f t="shared" si="28"/>
        <v>-0.11153595137922208</v>
      </c>
      <c r="K109" s="4">
        <f t="shared" si="29"/>
        <v>0.14606723430538618</v>
      </c>
    </row>
    <row r="110" spans="1:11" x14ac:dyDescent="0.45">
      <c r="A110" s="1">
        <v>5.4000000000000101</v>
      </c>
      <c r="B110" s="35">
        <v>-0.2</v>
      </c>
      <c r="C110" s="35">
        <v>-0.2</v>
      </c>
      <c r="D110" s="1">
        <f t="shared" si="23"/>
        <v>-0.2</v>
      </c>
      <c r="E110" s="4">
        <f t="shared" si="24"/>
        <v>0</v>
      </c>
      <c r="F110" s="4">
        <f t="shared" si="25"/>
        <v>8.4523611111110988</v>
      </c>
      <c r="G110" s="3">
        <f t="shared" si="22"/>
        <v>484.28502764523626</v>
      </c>
      <c r="H110" s="2">
        <f t="shared" si="26"/>
        <v>-0.56330425734445566</v>
      </c>
      <c r="I110" s="2">
        <f t="shared" si="27"/>
        <v>0.82624954684260576</v>
      </c>
      <c r="J110" s="4">
        <f t="shared" si="28"/>
        <v>-0.10590290880577752</v>
      </c>
      <c r="K110" s="4">
        <f t="shared" si="29"/>
        <v>0.13780473883696012</v>
      </c>
    </row>
    <row r="111" spans="1:11" x14ac:dyDescent="0.45">
      <c r="A111" s="1">
        <v>5.4500000000000099</v>
      </c>
      <c r="B111" s="35">
        <v>-0.2</v>
      </c>
      <c r="C111" s="35">
        <v>-0.2</v>
      </c>
      <c r="D111" s="1">
        <f t="shared" si="23"/>
        <v>-0.2</v>
      </c>
      <c r="E111" s="4">
        <f t="shared" si="24"/>
        <v>0</v>
      </c>
      <c r="F111" s="4">
        <f t="shared" si="25"/>
        <v>8.4523611111110988</v>
      </c>
      <c r="G111" s="3">
        <f t="shared" si="22"/>
        <v>484.28502764523626</v>
      </c>
      <c r="H111" s="2">
        <f t="shared" si="26"/>
        <v>-0.56330425734445566</v>
      </c>
      <c r="I111" s="2">
        <f t="shared" si="27"/>
        <v>0.82624954684260576</v>
      </c>
      <c r="J111" s="4">
        <f t="shared" si="28"/>
        <v>-0.10026986623233296</v>
      </c>
      <c r="K111" s="4">
        <f t="shared" si="29"/>
        <v>0.12954224336853407</v>
      </c>
    </row>
    <row r="112" spans="1:11" x14ac:dyDescent="0.45">
      <c r="A112" s="1">
        <v>5.5000000000000098</v>
      </c>
      <c r="B112" s="35">
        <v>-0.2</v>
      </c>
      <c r="C112" s="35">
        <v>-0.2</v>
      </c>
      <c r="D112" s="1">
        <f t="shared" si="23"/>
        <v>-0.2</v>
      </c>
      <c r="E112" s="4">
        <f t="shared" si="24"/>
        <v>0</v>
      </c>
      <c r="F112" s="4">
        <f t="shared" si="25"/>
        <v>8.4523611111110988</v>
      </c>
      <c r="G112" s="3">
        <f t="shared" si="22"/>
        <v>484.28502764523626</v>
      </c>
      <c r="H112" s="2">
        <f t="shared" si="26"/>
        <v>-0.56330425734445566</v>
      </c>
      <c r="I112" s="2">
        <f t="shared" si="27"/>
        <v>0.82624954684260576</v>
      </c>
      <c r="J112" s="4">
        <f t="shared" si="28"/>
        <v>-9.4636823658888397E-2</v>
      </c>
      <c r="K112" s="4">
        <f t="shared" si="29"/>
        <v>0.12127974790010801</v>
      </c>
    </row>
    <row r="113" spans="1:11" x14ac:dyDescent="0.45">
      <c r="A113" s="1">
        <v>5.5500000000000096</v>
      </c>
      <c r="B113" s="35">
        <v>-0.2</v>
      </c>
      <c r="C113" s="35">
        <v>-0.2</v>
      </c>
      <c r="D113" s="1">
        <f t="shared" si="23"/>
        <v>-0.2</v>
      </c>
      <c r="E113" s="4">
        <f t="shared" si="24"/>
        <v>0</v>
      </c>
      <c r="F113" s="4">
        <f t="shared" si="25"/>
        <v>8.4523611111110988</v>
      </c>
      <c r="G113" s="3">
        <f t="shared" si="22"/>
        <v>484.28502764523626</v>
      </c>
      <c r="H113" s="2">
        <f t="shared" si="26"/>
        <v>-0.56330425734445566</v>
      </c>
      <c r="I113" s="2">
        <f t="shared" si="27"/>
        <v>0.82624954684260576</v>
      </c>
      <c r="J113" s="4">
        <f t="shared" si="28"/>
        <v>-8.9003781085443837E-2</v>
      </c>
      <c r="K113" s="4">
        <f t="shared" si="29"/>
        <v>0.11301725243168195</v>
      </c>
    </row>
    <row r="114" spans="1:11" x14ac:dyDescent="0.45">
      <c r="A114" s="1">
        <v>5.6000000000000103</v>
      </c>
      <c r="B114" s="35">
        <v>-0.2</v>
      </c>
      <c r="C114" s="35">
        <v>-0.2</v>
      </c>
      <c r="D114" s="1">
        <f t="shared" si="23"/>
        <v>-0.2</v>
      </c>
      <c r="E114" s="4">
        <f t="shared" si="24"/>
        <v>0</v>
      </c>
      <c r="F114" s="4">
        <f t="shared" si="25"/>
        <v>8.4523611111110988</v>
      </c>
      <c r="G114" s="3">
        <f t="shared" si="22"/>
        <v>484.28502764523626</v>
      </c>
      <c r="H114" s="2">
        <f t="shared" si="26"/>
        <v>-0.56330425734445566</v>
      </c>
      <c r="I114" s="2">
        <f t="shared" si="27"/>
        <v>0.82624954684260576</v>
      </c>
      <c r="J114" s="4">
        <f t="shared" si="28"/>
        <v>-8.3370738511999276E-2</v>
      </c>
      <c r="K114" s="4">
        <f t="shared" si="29"/>
        <v>0.1047547569632559</v>
      </c>
    </row>
    <row r="115" spans="1:11" x14ac:dyDescent="0.45">
      <c r="A115" s="1">
        <v>5.6500000000000101</v>
      </c>
      <c r="B115" s="35">
        <v>-0.2</v>
      </c>
      <c r="C115" s="35">
        <v>-0.2</v>
      </c>
      <c r="D115" s="1">
        <f t="shared" si="23"/>
        <v>-0.2</v>
      </c>
      <c r="E115" s="4">
        <f t="shared" si="24"/>
        <v>0</v>
      </c>
      <c r="F115" s="4">
        <f t="shared" si="25"/>
        <v>8.4523611111110988</v>
      </c>
      <c r="G115" s="3">
        <f t="shared" si="22"/>
        <v>484.28502764523626</v>
      </c>
      <c r="H115" s="2">
        <f t="shared" si="26"/>
        <v>-0.56330425734445566</v>
      </c>
      <c r="I115" s="2">
        <f t="shared" si="27"/>
        <v>0.82624954684260576</v>
      </c>
      <c r="J115" s="4">
        <f t="shared" si="28"/>
        <v>-7.7737695938554716E-2</v>
      </c>
      <c r="K115" s="4">
        <f t="shared" si="29"/>
        <v>9.649226149482984E-2</v>
      </c>
    </row>
    <row r="116" spans="1:11" x14ac:dyDescent="0.45">
      <c r="A116" s="1">
        <v>5.7000000000000099</v>
      </c>
      <c r="B116" s="35">
        <v>-0.2</v>
      </c>
      <c r="C116" s="35">
        <v>-0.2</v>
      </c>
      <c r="D116" s="1">
        <f t="shared" si="23"/>
        <v>-0.2</v>
      </c>
      <c r="E116" s="4">
        <f t="shared" si="24"/>
        <v>0</v>
      </c>
      <c r="F116" s="4">
        <f t="shared" si="25"/>
        <v>8.4523611111110988</v>
      </c>
      <c r="G116" s="3">
        <f t="shared" si="22"/>
        <v>484.28502764523626</v>
      </c>
      <c r="H116" s="2">
        <f t="shared" si="26"/>
        <v>-0.56330425734445566</v>
      </c>
      <c r="I116" s="2">
        <f t="shared" si="27"/>
        <v>0.82624954684260576</v>
      </c>
      <c r="J116" s="4">
        <f t="shared" si="28"/>
        <v>-7.2104653365110155E-2</v>
      </c>
      <c r="K116" s="4">
        <f t="shared" si="29"/>
        <v>8.8229766026403783E-2</v>
      </c>
    </row>
    <row r="117" spans="1:11" x14ac:dyDescent="0.45">
      <c r="A117" s="1">
        <v>5.7500000000000098</v>
      </c>
      <c r="B117" s="35">
        <v>-0.2</v>
      </c>
      <c r="C117" s="35">
        <v>-0.2</v>
      </c>
      <c r="D117" s="1">
        <f t="shared" si="23"/>
        <v>-0.2</v>
      </c>
      <c r="E117" s="4">
        <f t="shared" si="24"/>
        <v>0</v>
      </c>
      <c r="F117" s="4">
        <f t="shared" si="25"/>
        <v>8.4523611111110988</v>
      </c>
      <c r="G117" s="3">
        <f t="shared" si="22"/>
        <v>484.28502764523626</v>
      </c>
      <c r="H117" s="2">
        <f t="shared" si="26"/>
        <v>-0.56330425734445566</v>
      </c>
      <c r="I117" s="2">
        <f t="shared" si="27"/>
        <v>0.82624954684260576</v>
      </c>
      <c r="J117" s="4">
        <f t="shared" si="28"/>
        <v>-6.6471610791665595E-2</v>
      </c>
      <c r="K117" s="4">
        <f t="shared" si="29"/>
        <v>7.9967270557977727E-2</v>
      </c>
    </row>
    <row r="118" spans="1:11" x14ac:dyDescent="0.45">
      <c r="A118" s="1">
        <v>5.8000000000000096</v>
      </c>
      <c r="B118" s="35">
        <v>-0.2</v>
      </c>
      <c r="C118" s="35">
        <v>-0.2</v>
      </c>
      <c r="D118" s="1">
        <f t="shared" si="23"/>
        <v>-0.2</v>
      </c>
      <c r="E118" s="4">
        <f t="shared" si="24"/>
        <v>0</v>
      </c>
      <c r="F118" s="4">
        <f t="shared" si="25"/>
        <v>8.4523611111110988</v>
      </c>
      <c r="G118" s="3">
        <f t="shared" si="22"/>
        <v>484.28502764523626</v>
      </c>
      <c r="H118" s="2">
        <f t="shared" si="26"/>
        <v>-0.56330425734445566</v>
      </c>
      <c r="I118" s="2">
        <f t="shared" si="27"/>
        <v>0.82624954684260576</v>
      </c>
      <c r="J118" s="4">
        <f t="shared" si="28"/>
        <v>-6.0838568218221034E-2</v>
      </c>
      <c r="K118" s="4">
        <f t="shared" si="29"/>
        <v>7.170477508955167E-2</v>
      </c>
    </row>
    <row r="119" spans="1:11" x14ac:dyDescent="0.45">
      <c r="A119" s="1">
        <v>5.8500000000000103</v>
      </c>
      <c r="B119" s="35">
        <v>-0.2</v>
      </c>
      <c r="C119" s="35">
        <v>-0.2</v>
      </c>
      <c r="D119" s="1">
        <f t="shared" si="23"/>
        <v>-0.2</v>
      </c>
      <c r="E119" s="4">
        <f t="shared" si="24"/>
        <v>0</v>
      </c>
      <c r="F119" s="4">
        <f t="shared" si="25"/>
        <v>8.4523611111110988</v>
      </c>
      <c r="G119" s="3">
        <f t="shared" si="22"/>
        <v>484.28502764523626</v>
      </c>
      <c r="H119" s="2">
        <f t="shared" si="26"/>
        <v>-0.56330425734445566</v>
      </c>
      <c r="I119" s="2">
        <f t="shared" si="27"/>
        <v>0.82624954684260576</v>
      </c>
      <c r="J119" s="4">
        <f t="shared" si="28"/>
        <v>-5.5205525644776474E-2</v>
      </c>
      <c r="K119" s="4">
        <f t="shared" si="29"/>
        <v>6.3442279621125613E-2</v>
      </c>
    </row>
    <row r="120" spans="1:11" x14ac:dyDescent="0.45">
      <c r="A120" s="1">
        <v>5.9000000000000101</v>
      </c>
      <c r="B120" s="35">
        <v>-0.2</v>
      </c>
      <c r="C120" s="35">
        <v>-0.2</v>
      </c>
      <c r="D120" s="1">
        <f t="shared" si="23"/>
        <v>-0.2</v>
      </c>
      <c r="E120" s="4">
        <f t="shared" si="24"/>
        <v>0</v>
      </c>
      <c r="F120" s="4">
        <f t="shared" si="25"/>
        <v>8.4523611111110988</v>
      </c>
      <c r="G120" s="3">
        <f t="shared" si="22"/>
        <v>484.28502764523626</v>
      </c>
      <c r="H120" s="2">
        <f t="shared" si="26"/>
        <v>-0.56330425734445566</v>
      </c>
      <c r="I120" s="2">
        <f t="shared" si="27"/>
        <v>0.82624954684260576</v>
      </c>
      <c r="J120" s="4">
        <f t="shared" si="28"/>
        <v>-4.9572483071331913E-2</v>
      </c>
      <c r="K120" s="4">
        <f t="shared" si="29"/>
        <v>5.5179784152699557E-2</v>
      </c>
    </row>
    <row r="121" spans="1:11" x14ac:dyDescent="0.45">
      <c r="A121" s="1">
        <v>5.9500000000000099</v>
      </c>
      <c r="B121" s="35">
        <v>-0.2</v>
      </c>
      <c r="C121" s="35">
        <v>-0.2</v>
      </c>
      <c r="D121" s="1">
        <f t="shared" si="23"/>
        <v>-0.2</v>
      </c>
      <c r="E121" s="4">
        <f t="shared" si="24"/>
        <v>0</v>
      </c>
      <c r="F121" s="4">
        <f t="shared" si="25"/>
        <v>8.4523611111110988</v>
      </c>
      <c r="G121" s="3">
        <f t="shared" si="22"/>
        <v>484.28502764523626</v>
      </c>
      <c r="H121" s="2">
        <f t="shared" si="26"/>
        <v>-0.56330425734445566</v>
      </c>
      <c r="I121" s="2">
        <f t="shared" si="27"/>
        <v>0.82624954684260576</v>
      </c>
      <c r="J121" s="4">
        <f t="shared" si="28"/>
        <v>-4.3939440497887353E-2</v>
      </c>
      <c r="K121" s="4">
        <f t="shared" si="29"/>
        <v>4.69172886842735E-2</v>
      </c>
    </row>
    <row r="122" spans="1:11" x14ac:dyDescent="0.45">
      <c r="A122" s="1">
        <v>6.0000000000000098</v>
      </c>
      <c r="B122" s="35">
        <v>-0.2</v>
      </c>
      <c r="C122" s="35">
        <v>-0.2</v>
      </c>
      <c r="D122" s="1">
        <f t="shared" si="23"/>
        <v>-0.2</v>
      </c>
      <c r="E122" s="4">
        <f t="shared" si="24"/>
        <v>0</v>
      </c>
      <c r="F122" s="4">
        <f t="shared" si="25"/>
        <v>8.4523611111110988</v>
      </c>
      <c r="G122" s="3">
        <f t="shared" si="22"/>
        <v>484.28502764523626</v>
      </c>
      <c r="H122" s="2">
        <f t="shared" si="26"/>
        <v>-0.56330425734445566</v>
      </c>
      <c r="I122" s="2">
        <f t="shared" si="27"/>
        <v>0.82624954684260576</v>
      </c>
      <c r="J122" s="4">
        <f t="shared" si="28"/>
        <v>-3.8306397924442792E-2</v>
      </c>
      <c r="K122" s="4">
        <f t="shared" si="29"/>
        <v>3.8654793215847444E-2</v>
      </c>
    </row>
    <row r="123" spans="1:11" x14ac:dyDescent="0.45">
      <c r="A123" s="1">
        <v>6.0500000000000096</v>
      </c>
      <c r="B123" s="35">
        <v>-0.2</v>
      </c>
      <c r="C123" s="35">
        <v>-0.2</v>
      </c>
      <c r="D123" s="1">
        <f t="shared" si="23"/>
        <v>-0.2</v>
      </c>
      <c r="E123" s="4">
        <f t="shared" si="24"/>
        <v>0</v>
      </c>
      <c r="F123" s="4">
        <f t="shared" si="25"/>
        <v>8.4523611111110988</v>
      </c>
      <c r="G123" s="3">
        <f t="shared" si="22"/>
        <v>484.28502764523626</v>
      </c>
      <c r="H123" s="2">
        <f t="shared" si="26"/>
        <v>-0.56330425734445566</v>
      </c>
      <c r="I123" s="2">
        <f t="shared" si="27"/>
        <v>0.82624954684260576</v>
      </c>
      <c r="J123" s="4">
        <f t="shared" si="28"/>
        <v>-3.2673355350998232E-2</v>
      </c>
      <c r="K123" s="4">
        <f t="shared" si="29"/>
        <v>3.0392297747421384E-2</v>
      </c>
    </row>
    <row r="124" spans="1:11" x14ac:dyDescent="0.45">
      <c r="A124" s="1">
        <v>6.1000000000000103</v>
      </c>
      <c r="B124" s="35">
        <v>-0.2</v>
      </c>
      <c r="C124" s="35">
        <v>-0.2</v>
      </c>
      <c r="D124" s="1">
        <f t="shared" si="23"/>
        <v>-0.2</v>
      </c>
      <c r="E124" s="4">
        <f t="shared" si="24"/>
        <v>0</v>
      </c>
      <c r="F124" s="4">
        <f t="shared" si="25"/>
        <v>8.4523611111110988</v>
      </c>
      <c r="G124" s="3">
        <f t="shared" si="22"/>
        <v>484.28502764523626</v>
      </c>
      <c r="H124" s="2">
        <f t="shared" si="26"/>
        <v>-0.56330425734445566</v>
      </c>
      <c r="I124" s="2">
        <f t="shared" si="27"/>
        <v>0.82624954684260576</v>
      </c>
      <c r="J124" s="4">
        <f t="shared" si="28"/>
        <v>-2.7040312777553675E-2</v>
      </c>
      <c r="K124" s="4">
        <f t="shared" si="29"/>
        <v>2.2129802278995324E-2</v>
      </c>
    </row>
    <row r="125" spans="1:11" x14ac:dyDescent="0.45">
      <c r="A125" s="1">
        <v>6.1500000000000101</v>
      </c>
      <c r="B125" s="35">
        <v>-0.2</v>
      </c>
      <c r="C125" s="35">
        <v>-0.2</v>
      </c>
      <c r="D125" s="1">
        <f t="shared" si="23"/>
        <v>-0.2</v>
      </c>
      <c r="E125" s="4">
        <f t="shared" si="24"/>
        <v>0</v>
      </c>
      <c r="F125" s="4">
        <f t="shared" si="25"/>
        <v>8.4523611111110988</v>
      </c>
      <c r="G125" s="3">
        <f t="shared" si="22"/>
        <v>484.28502764523626</v>
      </c>
      <c r="H125" s="2">
        <f t="shared" si="26"/>
        <v>-0.56330425734445566</v>
      </c>
      <c r="I125" s="2">
        <f t="shared" si="27"/>
        <v>0.82624954684260576</v>
      </c>
      <c r="J125" s="4">
        <f t="shared" si="28"/>
        <v>-2.1407270204109118E-2</v>
      </c>
      <c r="K125" s="4">
        <f t="shared" si="29"/>
        <v>1.3867306810569264E-2</v>
      </c>
    </row>
    <row r="126" spans="1:11" x14ac:dyDescent="0.45">
      <c r="A126" s="1">
        <v>6.2000000000000099</v>
      </c>
      <c r="B126" s="35">
        <v>-0.2</v>
      </c>
      <c r="C126" s="35">
        <v>-0.2</v>
      </c>
      <c r="D126" s="1">
        <f t="shared" si="23"/>
        <v>-0.2</v>
      </c>
      <c r="E126" s="4">
        <f t="shared" si="24"/>
        <v>0</v>
      </c>
      <c r="F126" s="4">
        <f t="shared" si="25"/>
        <v>8.4523611111110988</v>
      </c>
      <c r="G126" s="3">
        <f t="shared" si="22"/>
        <v>484.28502764523626</v>
      </c>
      <c r="H126" s="2">
        <f t="shared" si="26"/>
        <v>-0.56330425734445566</v>
      </c>
      <c r="I126" s="2">
        <f t="shared" si="27"/>
        <v>0.82624954684260576</v>
      </c>
      <c r="J126" s="4">
        <f t="shared" si="28"/>
        <v>-1.5774227630664561E-2</v>
      </c>
      <c r="K126" s="4">
        <f t="shared" si="29"/>
        <v>5.6048113421432039E-3</v>
      </c>
    </row>
    <row r="127" spans="1:11" x14ac:dyDescent="0.45">
      <c r="A127" s="1">
        <v>6.2500000000000098</v>
      </c>
      <c r="B127" s="35">
        <v>-0.2</v>
      </c>
      <c r="C127" s="35">
        <v>-0.2</v>
      </c>
      <c r="D127" s="1">
        <f t="shared" si="23"/>
        <v>-0.2</v>
      </c>
      <c r="E127" s="4">
        <f t="shared" si="24"/>
        <v>0</v>
      </c>
      <c r="F127" s="4">
        <f t="shared" si="25"/>
        <v>8.4523611111110988</v>
      </c>
      <c r="G127" s="3">
        <f t="shared" si="22"/>
        <v>484.28502764523626</v>
      </c>
      <c r="H127" s="2">
        <f t="shared" si="26"/>
        <v>-0.56330425734445566</v>
      </c>
      <c r="I127" s="2">
        <f t="shared" si="27"/>
        <v>0.82624954684260576</v>
      </c>
      <c r="J127" s="4">
        <f t="shared" si="28"/>
        <v>-1.0141185057220004E-2</v>
      </c>
      <c r="K127" s="4">
        <f t="shared" si="29"/>
        <v>-2.6576841262828561E-3</v>
      </c>
    </row>
    <row r="128" spans="1:11" x14ac:dyDescent="0.45">
      <c r="A128" s="1">
        <v>6.3000000000000096</v>
      </c>
      <c r="B128" s="35">
        <v>-0.2</v>
      </c>
      <c r="C128" s="35">
        <v>-0.2</v>
      </c>
      <c r="D128" s="1">
        <f t="shared" ref="D128" si="30">(B128+C128)/2</f>
        <v>-0.2</v>
      </c>
      <c r="E128" s="4">
        <f t="shared" ref="E128" si="31">(B128-C128)/P$3</f>
        <v>0</v>
      </c>
      <c r="F128" s="4">
        <f t="shared" ref="F128" si="32">F127+E128*N$3</f>
        <v>8.4523611111110988</v>
      </c>
      <c r="G128" s="3">
        <f t="shared" si="22"/>
        <v>484.28502764523626</v>
      </c>
      <c r="H128" s="2">
        <f t="shared" ref="H128" si="33">COS((F128+F127)/2)</f>
        <v>-0.56330425734445566</v>
      </c>
      <c r="I128" s="2">
        <f t="shared" ref="I128" si="34">SIN((F128+F127)/2)</f>
        <v>0.82624954684260576</v>
      </c>
      <c r="J128" s="4">
        <f t="shared" ref="J128" si="35">J127+D128*N$3*H128</f>
        <v>-4.5081424837754456E-3</v>
      </c>
      <c r="K128" s="4">
        <f t="shared" ref="K128" si="36">K127+D128*N$3*I128</f>
        <v>-1.0920179594708916E-2</v>
      </c>
    </row>
    <row r="129" spans="1:1" x14ac:dyDescent="0.45">
      <c r="A129" s="1">
        <v>6.3500000000000103</v>
      </c>
    </row>
    <row r="130" spans="1:1" x14ac:dyDescent="0.45">
      <c r="A130" s="1">
        <v>6.4</v>
      </c>
    </row>
    <row r="131" spans="1:1" x14ac:dyDescent="0.45">
      <c r="A131" s="1">
        <v>6.45</v>
      </c>
    </row>
    <row r="132" spans="1:1" x14ac:dyDescent="0.45">
      <c r="A132" s="1">
        <v>6.5</v>
      </c>
    </row>
    <row r="133" spans="1:1" x14ac:dyDescent="0.45">
      <c r="A133" s="1">
        <v>6.55</v>
      </c>
    </row>
    <row r="134" spans="1:1" x14ac:dyDescent="0.45">
      <c r="A134" s="1">
        <v>6.6</v>
      </c>
    </row>
    <row r="135" spans="1:1" x14ac:dyDescent="0.45">
      <c r="A135" s="1">
        <v>6.65</v>
      </c>
    </row>
    <row r="136" spans="1:1" x14ac:dyDescent="0.45">
      <c r="A136" s="1">
        <v>6.7</v>
      </c>
    </row>
    <row r="137" spans="1:1" x14ac:dyDescent="0.45">
      <c r="A137" s="1">
        <v>6.75</v>
      </c>
    </row>
    <row r="138" spans="1:1" x14ac:dyDescent="0.45">
      <c r="A138" s="1">
        <v>6.8</v>
      </c>
    </row>
    <row r="139" spans="1:1" x14ac:dyDescent="0.45">
      <c r="A139" s="1">
        <v>6.85</v>
      </c>
    </row>
    <row r="140" spans="1:1" x14ac:dyDescent="0.45">
      <c r="A140" s="1">
        <v>6.9</v>
      </c>
    </row>
    <row r="141" spans="1:1" x14ac:dyDescent="0.45">
      <c r="A141" s="1">
        <v>6.95</v>
      </c>
    </row>
    <row r="142" spans="1:1" x14ac:dyDescent="0.45">
      <c r="A142" s="1">
        <v>7</v>
      </c>
    </row>
    <row r="143" spans="1:1" x14ac:dyDescent="0.45">
      <c r="A143" s="1">
        <v>7.05</v>
      </c>
    </row>
    <row r="144" spans="1:1" x14ac:dyDescent="0.45">
      <c r="A144" s="1">
        <v>7.1</v>
      </c>
    </row>
    <row r="145" spans="1:1" x14ac:dyDescent="0.45">
      <c r="A145" s="1">
        <v>7.15</v>
      </c>
    </row>
    <row r="146" spans="1:1" x14ac:dyDescent="0.45">
      <c r="A146" s="1">
        <v>7.2</v>
      </c>
    </row>
    <row r="147" spans="1:1" x14ac:dyDescent="0.45">
      <c r="A147" s="1">
        <v>7.25</v>
      </c>
    </row>
    <row r="148" spans="1:1" x14ac:dyDescent="0.45">
      <c r="A148" s="1">
        <v>7.3</v>
      </c>
    </row>
    <row r="149" spans="1:1" x14ac:dyDescent="0.45">
      <c r="A149" s="1">
        <v>7.35</v>
      </c>
    </row>
    <row r="150" spans="1:1" x14ac:dyDescent="0.45">
      <c r="A150" s="1">
        <v>7.4</v>
      </c>
    </row>
  </sheetData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RobotMotion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ZD WANG</dc:creator>
  <cp:lastModifiedBy>ryusei</cp:lastModifiedBy>
  <dcterms:created xsi:type="dcterms:W3CDTF">2020-06-09T05:25:51Z</dcterms:created>
  <dcterms:modified xsi:type="dcterms:W3CDTF">2020-12-20T16:51:56Z</dcterms:modified>
</cp:coreProperties>
</file>